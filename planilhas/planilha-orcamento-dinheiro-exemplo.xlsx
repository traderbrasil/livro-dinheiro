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ício" sheetId="1" state="visible" r:id="rId3"/>
    <sheet name="Plano" sheetId="2" state="visible" r:id="rId4"/>
    <sheet name="Resumo" sheetId="3" state="visible" r:id="rId5"/>
    <sheet name="Jan" sheetId="4" state="visible" r:id="rId6"/>
    <sheet name="Fev" sheetId="5" state="visible" r:id="rId7"/>
    <sheet name="Mar" sheetId="6" state="visible" r:id="rId8"/>
    <sheet name="Abr" sheetId="7" state="visible" r:id="rId9"/>
    <sheet name="Mai" sheetId="8" state="visible" r:id="rId10"/>
    <sheet name="Jun" sheetId="9" state="visible" r:id="rId11"/>
    <sheet name="Jul" sheetId="10" state="visible" r:id="rId12"/>
    <sheet name="Ago" sheetId="11" state="visible" r:id="rId13"/>
    <sheet name="Set" sheetId="12" state="visible" r:id="rId14"/>
    <sheet name="Out" sheetId="13" state="visible" r:id="rId15"/>
    <sheet name="Nov" sheetId="14" state="visible" r:id="rId16"/>
    <sheet name="Dez" sheetId="15" state="visible" r:id="rId17"/>
    <sheet name="Irregulares" sheetId="16" state="visible" r:id="rId18"/>
    <sheet name="Patrimônio" sheetId="17" state="visible" r:id="rId19"/>
    <sheet name="Dívidas" sheetId="18" state="visible" r:id="rId20"/>
    <sheet name="Metas" sheetId="19" state="visible" r:id="rId21"/>
    <sheet name="Revisão" sheetId="20" state="visible" r:id="rId22"/>
    <sheet name="Categorias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2" authorId="0">
      <text>
        <r>
          <rPr>
            <sz val="10"/>
            <rFont val="Arial"/>
            <family val="2"/>
          </rPr>
          <t xml:space="preserve">Essenciais + compromissos + flexíveis + irregulares pagas no mês.</t>
        </r>
      </text>
    </comment>
  </commentList>
</comments>
</file>

<file path=xl/sharedStrings.xml><?xml version="1.0" encoding="utf-8"?>
<sst xmlns="http://schemas.openxmlformats.org/spreadsheetml/2006/main" count="753" uniqueCount="310">
  <si>
    <t xml:space="preserve">Planilha de orçamento e plano financeiro</t>
  </si>
  <si>
    <t xml:space="preserve">Complemento do livro "Dinheiro: Querer, poder e gastar", de Flávio Lemos, CMT, CFP® (Apêndice A) · ARQUIVO DE EXEMPLO: Paula e Marcos, cap. 35</t>
  </si>
  <si>
    <t xml:space="preserve">Ano do orçamento</t>
  </si>
  <si>
    <t xml:space="preserve">Nome da pessoa 1</t>
  </si>
  <si>
    <t xml:space="preserve">Paula</t>
  </si>
  <si>
    <t xml:space="preserve">Nome da pessoa 2 (se houver)</t>
  </si>
  <si>
    <t xml:space="preserve">Marcos</t>
  </si>
  <si>
    <t xml:space="preserve">Como usar, na ordem das 6 etapas do cap. 35</t>
  </si>
  <si>
    <t xml:space="preserve">1. Combine as regras</t>
  </si>
  <si>
    <t xml:space="preserve">Aba Plano: quem participa, dia da revisão mensal, mês da revisão anual e a divisão das contas do casal.</t>
  </si>
  <si>
    <t xml:space="preserve">2. Faça o retrato</t>
  </si>
  <si>
    <t xml:space="preserve">Abas Jan a Dez: lance três meses de extratos e faturas. Aba Irregulares: despesas que não vêm todo mês. Abas Patrimônio e Dívidas: o que você tem e o que deve.</t>
  </si>
  <si>
    <t xml:space="preserve">3. Faça o diagnóstico</t>
  </si>
  <si>
    <t xml:space="preserve">Aba Resumo: margem, taxa de poupança e divisão dos gastos. Aba Patrimônio: meses de reserva. Aba Dívidas: ordem de quitação.</t>
  </si>
  <si>
    <t xml:space="preserve">4. Escreva o plano</t>
  </si>
  <si>
    <t xml:space="preserve">Aba Metas: finalidade, valor e data de cada objetivo e o depósito mensal necessário. Aba Plano: o plano em uma página.</t>
  </si>
  <si>
    <t xml:space="preserve">5. Coloque em prática</t>
  </si>
  <si>
    <t xml:space="preserve">Na seção "Destino da margem" de cada mês, registre o que foi para dívidas, reserva, metas e aposentadoria.</t>
  </si>
  <si>
    <t xml:space="preserve">6. Acompanhe e revise</t>
  </si>
  <si>
    <t xml:space="preserve">Uma hora por mês: compare previsto e realizado. Uma vez por ano: aba Revisão.</t>
  </si>
  <si>
    <t xml:space="preserve">Legenda das cores</t>
  </si>
  <si>
    <t xml:space="preserve">Exemplo</t>
  </si>
  <si>
    <t xml:space="preserve">Amarelo com texto azul: digite aqui.</t>
  </si>
  <si>
    <t xml:space="preserve">Verde: vem do mês anterior ou de outra aba; pode digitar por cima se o valor mudar.</t>
  </si>
  <si>
    <t xml:space="preserve">Cinza ou texto preto: conta automática; não apague.</t>
  </si>
  <si>
    <t xml:space="preserve">Calculadoras do blog (cada uma faz uma conta específica)</t>
  </si>
  <si>
    <t xml:space="preserve">Roteiro: planejamento em 6 etapas</t>
  </si>
  <si>
    <t xml:space="preserve">https://www.traderbrasil.com/blog/planejamento-financeiro-como-organizar-seu-dinheiro.php</t>
  </si>
  <si>
    <t xml:space="preserve">Orçamento 50/30/20 e margem mensal</t>
  </si>
  <si>
    <t xml:space="preserve">https://www.traderbrasil.com/blog/calculadora-orcamento-50-30-20-margem-mensal.php</t>
  </si>
  <si>
    <t xml:space="preserve">Quitar dívidas: bola de neve x avalanche</t>
  </si>
  <si>
    <t xml:space="preserve">https://www.traderbrasil.com/blog/calculadora-quitar-dividas-bola-de-neve-avalanche.php</t>
  </si>
  <si>
    <t xml:space="preserve">Parcelado ou à vista</t>
  </si>
  <si>
    <t xml:space="preserve">https://www.traderbrasil.com/blog/calculadora-parcelado-ou-a-vista.php</t>
  </si>
  <si>
    <t xml:space="preserve">Reserva de emergência</t>
  </si>
  <si>
    <t xml:space="preserve">https://www.traderbrasil.com/blog/calculadora-reserva-de-emergencia.php</t>
  </si>
  <si>
    <t xml:space="preserve">Meta financeira: quanto guardar por mês</t>
  </si>
  <si>
    <t xml:space="preserve">https://www.traderbrasil.com/blog/calculadora-meta-financeira-quanto-guardar-por-mes.php</t>
  </si>
  <si>
    <t xml:space="preserve">Inflação (IPCA) e poder de compra</t>
  </si>
  <si>
    <t xml:space="preserve">https://www.traderbrasil.com/blog/calculadora-inflacao-ipca-poder-de-compra.php</t>
  </si>
  <si>
    <t xml:space="preserve">Aposentadoria: quanto preciso acumular</t>
  </si>
  <si>
    <t xml:space="preserve">https://www.traderbrasil.com/blog/calculadora-de-aposentadoria-quanto-preciso-acumular.php</t>
  </si>
  <si>
    <t xml:space="preserve">Imposto de renda 2026</t>
  </si>
  <si>
    <t xml:space="preserve">https://www.traderbrasil.com/blog/calculadora-imposto-de-renda-2026-isencao-5-mil.php</t>
  </si>
  <si>
    <t xml:space="preserve">Patrimônio da família e do negócio</t>
  </si>
  <si>
    <t xml:space="preserve">https://www.traderbrasil.com/blog/como-organizar-o-patrimonio-da-familia-e-do-negocio.php</t>
  </si>
  <si>
    <t xml:space="preserve">Os números do ano</t>
  </si>
  <si>
    <t xml:space="preserve">https://www.traderbrasil.com/blog/os-numeros-do-ano-financas-2026.php</t>
  </si>
  <si>
    <t xml:space="preserve">Privacidade</t>
  </si>
  <si>
    <t xml:space="preserve">Esta planilha fica só no seu computador ou na sua conta. Não coloque senhas, números de conta ou de cartão.</t>
  </si>
  <si>
    <t xml:space="preserve">Aviso</t>
  </si>
  <si>
    <t xml:space="preserve">Material educativo. Simulação é projeção, não promessa de resultado, e não substitui a análise da sua situação por um profissional.</t>
  </si>
  <si>
    <t xml:space="preserve">Versão</t>
  </si>
  <si>
    <t xml:space="preserve">Outubro de 2026</t>
  </si>
  <si>
    <t xml:space="preserve">Meu plano em uma página</t>
  </si>
  <si>
    <t xml:space="preserve">Se não cabe numa página, está complicado demais para ser seguido (cap. 35).</t>
  </si>
  <si>
    <t xml:space="preserve">ETAPA 1. REGRAS COMBINADAS</t>
  </si>
  <si>
    <t xml:space="preserve">Quem participa do plano</t>
  </si>
  <si>
    <t xml:space="preserve">Paula e Marcos</t>
  </si>
  <si>
    <t xml:space="preserve">Dia do mês para acompanhar (uma hora)</t>
  </si>
  <si>
    <t xml:space="preserve">Primeiro domingo</t>
  </si>
  <si>
    <t xml:space="preserve">Mês da revisão anual</t>
  </si>
  <si>
    <t xml:space="preserve">Janeiro</t>
  </si>
  <si>
    <t xml:space="preserve">Ajuda profissional? (sozinho, planejador, consultor)</t>
  </si>
  <si>
    <t xml:space="preserve">Sozinhos por enquanto</t>
  </si>
  <si>
    <t xml:space="preserve">Regra de honestidade</t>
  </si>
  <si>
    <t xml:space="preserve">Todos os números na mesa, inclusive os feios</t>
  </si>
  <si>
    <t xml:space="preserve">Data da próxima revisão</t>
  </si>
  <si>
    <t xml:space="preserve">A ORDEM DO DINHEIRO</t>
  </si>
  <si>
    <t xml:space="preserve">Situação</t>
  </si>
  <si>
    <t xml:space="preserve">Próximo passo</t>
  </si>
  <si>
    <t xml:space="preserve">1. Contas essenciais em dia</t>
  </si>
  <si>
    <t xml:space="preserve">Feito</t>
  </si>
  <si>
    <t xml:space="preserve">2. Fim das dívidas caras (cap. 24)</t>
  </si>
  <si>
    <t xml:space="preserve">Rotativo quitado com a poupança</t>
  </si>
  <si>
    <t xml:space="preserve">3. Reserva de emergência (cap. 8)</t>
  </si>
  <si>
    <t xml:space="preserve">Em andamento</t>
  </si>
  <si>
    <t xml:space="preserve">R$ 1.000 por mês até 3 meses de gastos</t>
  </si>
  <si>
    <t xml:space="preserve">4. Proteção: seguros (cap. 20)</t>
  </si>
  <si>
    <t xml:space="preserve">Seguro de vida temporário contratado</t>
  </si>
  <si>
    <t xml:space="preserve">5. Objetivos com data (caps. 2, 25, 26)</t>
  </si>
  <si>
    <t xml:space="preserve">Entrada do apartamento: R$ 480 por mês</t>
  </si>
  <si>
    <t xml:space="preserve">6. Aposentadoria (caps. 31 e 32)</t>
  </si>
  <si>
    <t xml:space="preserve">Pendente</t>
  </si>
  <si>
    <t xml:space="preserve">Rever depois da compra do apartamento</t>
  </si>
  <si>
    <t xml:space="preserve">7. Impostos e legado (caps. 33 e 34)</t>
  </si>
  <si>
    <t xml:space="preserve">Testamento e beneficiários</t>
  </si>
  <si>
    <t xml:space="preserve">METAS (vêm da aba Metas)</t>
  </si>
  <si>
    <t xml:space="preserve">Depósito planejado</t>
  </si>
  <si>
    <t xml:space="preserve">Valor, data e onde guardar</t>
  </si>
  <si>
    <t xml:space="preserve">Total planejado para as metas</t>
  </si>
  <si>
    <t xml:space="preserve">Margem média para o plano (aba Resumo)</t>
  </si>
  <si>
    <t xml:space="preserve">O QUE FICOU PARA DEPOIS (e por quê)</t>
  </si>
  <si>
    <t xml:space="preserve">Faculdade e aposentadoria recebem mais depois da compra do apartamento, ou antes se a renda subir.</t>
  </si>
  <si>
    <t xml:space="preserve">Preenche sozinho a partir das abas dos meses. A média considera só os meses com valor.</t>
  </si>
  <si>
    <t xml:space="preserve">Linha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</si>
  <si>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</si>
  <si>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</si>
  <si>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</si>
  <si>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</si>
  <si>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</si>
  <si>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</si>
  <si>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</si>
  <si>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</si>
  <si>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</si>
  <si>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</si>
  <si>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</si>
  <si>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</si>
  <si>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Total</t>
  </si>
  <si>
    <t xml:space="preserve">Média</t>
  </si>
  <si>
    <t xml:space="preserve">Renda recorrente</t>
  </si>
  <si>
    <t xml:space="preserve">Renda total</t>
  </si>
  <si>
    <t xml:space="preserve">Essenciais</t>
  </si>
  <si>
    <t xml:space="preserve">Compromissos</t>
  </si>
  <si>
    <t xml:space="preserve">Provisão de irregulares</t>
  </si>
  <si>
    <t xml:space="preserve">Irregulares pagas</t>
  </si>
  <si>
    <t xml:space="preserve">Margem de decisão</t>
  </si>
  <si>
    <t xml:space="preserve">Flexíveis</t>
  </si>
  <si>
    <t xml:space="preserve">Margem para o plano</t>
  </si>
  <si>
    <t xml:space="preserve">Total do plano</t>
  </si>
  <si>
    <t xml:space="preserve">Saldo do mês</t>
  </si>
  <si>
    <t xml:space="preserve">Do plano: dívidas caras</t>
  </si>
  <si>
    <t xml:space="preserve">Do plano: reserva de emergência</t>
  </si>
  <si>
    <t xml:space="preserve">Do plano: seguro e proteção</t>
  </si>
  <si>
    <t xml:space="preserve">Do plano: aposentadoria</t>
  </si>
  <si>
    <t xml:space="preserve">Gastos do mês</t>
  </si>
  <si>
    <t xml:space="preserve">Taxa de poupança (plano sem seguro ÷ renda total)</t>
  </si>
  <si>
    <t xml:space="preserve">Divisão das contas comuns do casal (proporcional à renda)</t>
  </si>
  <si>
    <t xml:space="preserve">Cap. 29: cada um paga a mesma fatia do que ganha. Use o modo casal da calculadora de orçamento do blog.</t>
  </si>
  <si>
    <t xml:space="preserve">Previsto: o que você planeja. Realizado: o que aconteceu, pelos extratos e faturas.</t>
  </si>
  <si>
    <t xml:space="preserve">Item</t>
  </si>
  <si>
    <t xml:space="preserve">Previsto</t>
  </si>
  <si>
    <t xml:space="preserve">Realizado</t>
  </si>
  <si>
    <t xml:space="preserve">Diferença</t>
  </si>
  <si>
    <t xml:space="preserve">Observação</t>
  </si>
  <si>
    <t xml:space="preserve">RENDA LÍQUIDA (depois de INSS e IR)</t>
  </si>
  <si>
    <t xml:space="preserve">Outras rendas recorrentes (aluguel recebido, pensão)</t>
  </si>
  <si>
    <t xml:space="preserve">Entradas não recorrentes (13º, bônus, trabalhos avulsos)</t>
  </si>
  <si>
    <t xml:space="preserve">ESSENCIAIS</t>
  </si>
  <si>
    <t xml:space="preserve">Total de essenciais</t>
  </si>
  <si>
    <t xml:space="preserve">COMPROMISSOS (parcelas e mensalidades com vencimento)</t>
  </si>
  <si>
    <t xml:space="preserve">Total de compromissos</t>
  </si>
  <si>
    <t xml:space="preserve">DESPESAS IRREGULARES</t>
  </si>
  <si>
    <t xml:space="preserve">Provisão mensal (aba Irregulares, total ÷ 12)</t>
  </si>
  <si>
    <t xml:space="preserve">Irregulares pagas neste mês (sai do dinheiro provisionado)</t>
  </si>
  <si>
    <t xml:space="preserve">Informativo: não entra na margem, que já desconta a provisão.</t>
  </si>
  <si>
    <t xml:space="preserve">MARGEM DE DECISÃO (renda recorrente - essenciais - compromissos - provisão)</t>
  </si>
  <si>
    <t xml:space="preserve">FLEXÍVEIS (saem da margem)</t>
  </si>
  <si>
    <t xml:space="preserve">Total de flexíveis</t>
  </si>
  <si>
    <t xml:space="preserve">MARGEM PARA O PLANO (margem de decisão - flexíveis)</t>
  </si>
  <si>
    <t xml:space="preserve">DESTINO DA MARGEM (o seu plano, na ordem do cap. 35)</t>
  </si>
  <si>
    <t xml:space="preserve">Pagamento extra de dívidas caras</t>
  </si>
  <si>
    <t xml:space="preserve">Seguro de vida e proteção</t>
  </si>
  <si>
    <t xml:space="preserve">Aposentadoria (previdência ou investimentos de longo prazo)</t>
  </si>
  <si>
    <t xml:space="preserve">SALDO DO MÊS (margem para o plano - plano + entradas não recorrentes)</t>
  </si>
  <si>
    <t xml:space="preserve">Negativo: o mês fechou no vermelho. Confira com o extrato.</t>
  </si>
  <si>
    <t xml:space="preserve">INDICADORES DO MÊS (realizado)</t>
  </si>
  <si>
    <t xml:space="preserve">Necessidades (essenciais + compromissos + provisão) ÷ renda recorrente</t>
  </si>
  <si>
    <t xml:space="preserve">Desejos (flexíveis) ÷ renda recorrente</t>
  </si>
  <si>
    <t xml:space="preserve">Plano (dívidas, reserva, metas, aposentadoria) ÷ renda recorrente</t>
  </si>
  <si>
    <t xml:space="preserve">Referência 50/30/20: 50% necessidades, 30% desejos, 20% plano. É ponto de partida, não regra.</t>
  </si>
  <si>
    <t xml:space="preserve">Previsto: o que você planeja. Realizado: o que aconteceu, pelos extratos e faturas. O previsto vem de janeiro; digite por cima se mudar.</t>
  </si>
  <si>
    <t xml:space="preserve">Previsto: o que você planeja. Realizado: o que aconteceu, pelos extratos e faturas. O previsto vem de fevereiro; digite por cima se mudar.</t>
  </si>
  <si>
    <t xml:space="preserve">Previsto: o que você planeja. Realizado: o que aconteceu, pelos extratos e faturas. O previsto vem de março; digite por cima se mudar.</t>
  </si>
  <si>
    <t xml:space="preserve">Previsto: o que você planeja. Realizado: o que aconteceu, pelos extratos e faturas. O previsto vem de abril; digite por cima se mudar.</t>
  </si>
  <si>
    <t xml:space="preserve">Previsto: o que você planeja. Realizado: o que aconteceu, pelos extratos e faturas. O previsto vem de maio; digite por cima se mudar.</t>
  </si>
  <si>
    <t xml:space="preserve">Previsto: o que você planeja. Realizado: o que aconteceu, pelos extratos e faturas. O previsto vem de junho; digite por cima se mudar.</t>
  </si>
  <si>
    <t xml:space="preserve">Previsto: o que você planeja. Realizado: o que aconteceu, pelos extratos e faturas. O previsto vem de julho; digite por cima se mudar.</t>
  </si>
  <si>
    <t xml:space="preserve">Previsto: o que você planeja. Realizado: o que aconteceu, pelos extratos e faturas. O previsto vem de agosto; digite por cima se mudar.</t>
  </si>
  <si>
    <t xml:space="preserve">Previsto: o que você planeja. Realizado: o que aconteceu, pelos extratos e faturas. O previsto vem de setembro; digite por cima se mudar.</t>
  </si>
  <si>
    <t xml:space="preserve">Previsto: o que você planeja. Realizado: o que aconteceu, pelos extratos e faturas. O previsto vem de outubro; digite por cima se mudar.</t>
  </si>
  <si>
    <t xml:space="preserve">Previsto: o que você planeja. Realizado: o que aconteceu, pelos extratos e faturas. O previsto vem de novembro; digite por cima se mudar.</t>
  </si>
  <si>
    <t xml:space="preserve">Despesas irregulares do ano</t>
  </si>
  <si>
    <t xml:space="preserve">Despesas previsíveis que não vêm todo mês. A soma dividida por 12 é a provisão mensal (cap. 3 e cap. 35).</t>
  </si>
  <si>
    <t xml:space="preserve">Despesa</t>
  </si>
  <si>
    <t xml:space="preserve">Valor no ano</t>
  </si>
  <si>
    <t xml:space="preserve">Mês em que vence (1 a 12)</t>
  </si>
  <si>
    <t xml:space="preserve">IPVA e licenciamento</t>
  </si>
  <si>
    <t xml:space="preserve">Seguro do carro</t>
  </si>
  <si>
    <t xml:space="preserve">Material escolar e uniforme</t>
  </si>
  <si>
    <t xml:space="preserve">Presentes de fim de ano</t>
  </si>
  <si>
    <t xml:space="preserve">Total no ano</t>
  </si>
  <si>
    <t xml:space="preserve">Provisão mensal (total ÷ 12)</t>
  </si>
  <si>
    <t xml:space="preserve">Patrimônio: o que você tem e o que deve</t>
  </si>
  <si>
    <t xml:space="preserve">Valores de mercado aproximados. Atualize uma vez por ano, de preferência junto com a declaração do IR.</t>
  </si>
  <si>
    <t xml:space="preserve">Tipo</t>
  </si>
  <si>
    <t xml:space="preserve">Fim do ano anterior</t>
  </si>
  <si>
    <t xml:space="preserve">Hoje</t>
  </si>
  <si>
    <t xml:space="preserve">Variação</t>
  </si>
  <si>
    <t xml:space="preserve">O QUE VOCÊ TEM</t>
  </si>
  <si>
    <t xml:space="preserve">Conta corrente e dinheiro</t>
  </si>
  <si>
    <t xml:space="preserve">Liquidez rápida</t>
  </si>
  <si>
    <t xml:space="preserve">Investimentos de resgate rápido</t>
  </si>
  <si>
    <t xml:space="preserve">Investimentos de longo prazo</t>
  </si>
  <si>
    <t xml:space="preserve">Longo prazo</t>
  </si>
  <si>
    <t xml:space="preserve">Previdência privada</t>
  </si>
  <si>
    <t xml:space="preserve">FGTS</t>
  </si>
  <si>
    <t xml:space="preserve">Imóvel de moradia</t>
  </si>
  <si>
    <t xml:space="preserve">Bem de uso</t>
  </si>
  <si>
    <t xml:space="preserve">Outros imóveis</t>
  </si>
  <si>
    <t xml:space="preserve">Veículos</t>
  </si>
  <si>
    <t xml:space="preserve">Participação em empresa</t>
  </si>
  <si>
    <t xml:space="preserve">Empresa</t>
  </si>
  <si>
    <t xml:space="preserve">Outros bens</t>
  </si>
  <si>
    <t xml:space="preserve">Total do que você tem</t>
  </si>
  <si>
    <t xml:space="preserve">O QUE VOCÊ DEVE (saldo devedor)</t>
  </si>
  <si>
    <t xml:space="preserve">Financiamento imobiliário</t>
  </si>
  <si>
    <t xml:space="preserve">Dívida</t>
  </si>
  <si>
    <t xml:space="preserve">Financiamento de veículo</t>
  </si>
  <si>
    <t xml:space="preserve">Empréstimos e consignado</t>
  </si>
  <si>
    <t xml:space="preserve">Cartão de crédito (rotativo e parcelas)</t>
  </si>
  <si>
    <t xml:space="preserve">Cheque especial</t>
  </si>
  <si>
    <t xml:space="preserve">Outras dívidas</t>
  </si>
  <si>
    <t xml:space="preserve">Total do que você deve</t>
  </si>
  <si>
    <t xml:space="preserve">Conferência: saldo total na aba Dívidas</t>
  </si>
  <si>
    <t xml:space="preserve">PATRIMÔNIO LÍQUIDO (tem - deve)</t>
  </si>
  <si>
    <t xml:space="preserve">Avais e garantias dadas a terceiros ou à sua empresa (fora do total)</t>
  </si>
  <si>
    <t xml:space="preserve">INDICADORES</t>
  </si>
  <si>
    <t xml:space="preserve">Meses de reserva (liquidez rápida ÷ essenciais e compromissos médios do mês)</t>
  </si>
  <si>
    <t xml:space="preserve">Concentração na empresa (empresa ÷ total do que tem)</t>
  </si>
  <si>
    <t xml:space="preserve">Dívidas ÷ total do que tem</t>
  </si>
  <si>
    <t xml:space="preserve">Avais ÷ patrimônio líquido</t>
  </si>
  <si>
    <t xml:space="preserve">Reserva: cap. 8 e calculadora de reserva de emergência. Empresa e avais: cap. 27, cap. 28 e guia de patrimônio da família e do negócio.</t>
  </si>
  <si>
    <t xml:space="preserve">Dívidas: saldo, juros e ordem de quitação</t>
  </si>
  <si>
    <t xml:space="preserve">Avalanche: paga primeiro a de juros mais altos (economiza mais). Bola de neve: paga primeiro a de menor saldo (motiva mais). Cap. 24.</t>
  </si>
  <si>
    <t xml:space="preserve">Credor</t>
  </si>
  <si>
    <t xml:space="preserve">Saldo devedor</t>
  </si>
  <si>
    <t xml:space="preserve">Parcela mensal</t>
  </si>
  <si>
    <t xml:space="preserve">Juros ao mês</t>
  </si>
  <si>
    <t xml:space="preserve">Juros ao ano</t>
  </si>
  <si>
    <t xml:space="preserve">Parcelas restantes</t>
  </si>
  <si>
    <t xml:space="preserve">Em atraso?</t>
  </si>
  <si>
    <t xml:space="preserve">Ordem avalanche</t>
  </si>
  <si>
    <t xml:space="preserve">Ordem bola de neve</t>
  </si>
  <si>
    <t xml:space="preserve">Cartão (rotativo)</t>
  </si>
  <si>
    <t xml:space="preserve">Cartão de crédito</t>
  </si>
  <si>
    <t xml:space="preserve">Não</t>
  </si>
  <si>
    <t xml:space="preserve">Financiamento do carro</t>
  </si>
  <si>
    <t xml:space="preserve">Financiamento</t>
  </si>
  <si>
    <t xml:space="preserve">Totais</t>
  </si>
  <si>
    <t xml:space="preserve">Parcelas ÷ renda recorrente média</t>
  </si>
  <si>
    <t xml:space="preserve">Juros ao mês: veja no contrato, na fatura ou no Registrato do Banco Central. Simule a quitação na calculadora bola de neve x avalanche do blog.</t>
  </si>
  <si>
    <t xml:space="preserve">Metas: finalidade, valor e data</t>
  </si>
  <si>
    <t xml:space="preserve">Valores em reais de hoje. O rendimento é o esperado acima da inflação (hipótese sua, não promessa). Cap. 2 e cap. 35.</t>
  </si>
  <si>
    <t xml:space="preserve">Finalidade</t>
  </si>
  <si>
    <t xml:space="preserve">Valor (R$ de hoje)</t>
  </si>
  <si>
    <t xml:space="preserve">Data alvo</t>
  </si>
  <si>
    <t xml:space="preserve">Já guardado</t>
  </si>
  <si>
    <t xml:space="preserve">Rendimento real ao ano</t>
  </si>
  <si>
    <t xml:space="preserve">Meses até a data</t>
  </si>
  <si>
    <t xml:space="preserve">Depósito mensal necessário</t>
  </si>
  <si>
    <t xml:space="preserve">Depósito mensal planejado</t>
  </si>
  <si>
    <t xml:space="preserve">% atingido</t>
  </si>
  <si>
    <t xml:space="preserve">Onde guardar (prazo e risco)</t>
  </si>
  <si>
    <t xml:space="preserve">Prioridade</t>
  </si>
  <si>
    <t xml:space="preserve">Entrada do apartamento</t>
  </si>
  <si>
    <t xml:space="preserve">Vencimento perto da data da compra</t>
  </si>
  <si>
    <t xml:space="preserve">Faculdade do filho</t>
  </si>
  <si>
    <t xml:space="preserve">Longo prazo, conforme o perfil</t>
  </si>
  <si>
    <t xml:space="preserve">Sobra média para metas (margem para o plano menos dívidas, reserva, seguro e aposentadoria; aba Resumo)</t>
  </si>
  <si>
    <t xml:space="preserve">Os depósitos planejados cabem na margem?</t>
  </si>
  <si>
    <t xml:space="preserve">Como a conta é feita: depósito = PMT(taxa mensal; meses; já guardado; -valor), com taxa mensal = (1 + rendimento real)^(1/12) - 1. Sem rendimento informado, a conta usa 0%. A mesma conta está na calculadora de meta financeira do blog.</t>
  </si>
  <si>
    <t xml:space="preserve">Revisão anual e gatilhos de revisão</t>
  </si>
  <si>
    <t xml:space="preserve">Uma vez por ano, e sempre que a vida mudar (cap. 35, etapa 6).</t>
  </si>
  <si>
    <t xml:space="preserve">Feito?</t>
  </si>
  <si>
    <t xml:space="preserve">Data</t>
  </si>
  <si>
    <t xml:space="preserve">Anotações</t>
  </si>
  <si>
    <t xml:space="preserve">Refazer o retrato: três meses de extratos e faturas</t>
  </si>
  <si>
    <t xml:space="preserve">Atualizar as despesas irregulares do ano</t>
  </si>
  <si>
    <t xml:space="preserve">Atualizar a aba Patrimônio e comparar com o ano anterior</t>
  </si>
  <si>
    <t xml:space="preserve">Rever as dívidas e a ordem de quitação</t>
  </si>
  <si>
    <t xml:space="preserve">Conferir se a reserva cobre os meses combinados</t>
  </si>
  <si>
    <t xml:space="preserve">Atualizar as metas pela inflação (calculadora de inflação do blog)</t>
  </si>
  <si>
    <t xml:space="preserve">Rebalancear os investimentos conforme o perfil (cap. 5)</t>
  </si>
  <si>
    <t xml:space="preserve">Conferir seguros e beneficiários de seguros e previdência (caps. 20, 32 e 34)</t>
  </si>
  <si>
    <t xml:space="preserve">Conferir testamento e pasta da família (cap. 34)</t>
  </si>
  <si>
    <t xml:space="preserve">Aproveitar a declaração do IR para revisar deduções (cap. 33)</t>
  </si>
  <si>
    <t xml:space="preserve">Conferir os valores do ano na página Os números do ano</t>
  </si>
  <si>
    <t xml:space="preserve">Marcar a data da próxima revisão (aba Plano)</t>
  </si>
  <si>
    <t xml:space="preserve">GATILHOS: revise o plano na hora se acontecer</t>
  </si>
  <si>
    <t xml:space="preserve">Primeiro emprego, promoção, demissão ou mudança de carreira (caps. 7 e 27)</t>
  </si>
  <si>
    <t xml:space="preserve">Casamento, união estável, separação ou divórcio (cap. 29)</t>
  </si>
  <si>
    <t xml:space="preserve">Nascimento ou adoção de filho (caps. 20 e 29)</t>
  </si>
  <si>
    <t xml:space="preserve">Compra de casa ou de carro (caps. 25 e 26)</t>
  </si>
  <si>
    <t xml:space="preserve">Abrir um negócio (cap. 28) ou mudar de país (cap. 30)</t>
  </si>
  <si>
    <t xml:space="preserve">Cuidar dos pais, doença na família ou perda de alguém próximo (caps. 20 e 34)</t>
  </si>
  <si>
    <t xml:space="preserve">Herança, prêmio ou outro dinheiro inesperado (caps. 33 e 34)</t>
  </si>
  <si>
    <t xml:space="preserve">Aposentadoria (caps. 31 e 32)</t>
  </si>
  <si>
    <t xml:space="preserve">Mudança de regra: imposto, INSS ou juros (Os números do ano)</t>
  </si>
  <si>
    <t xml:space="preserve">Nomes das categorias</t>
  </si>
  <si>
    <t xml:space="preserve">Troque os nomes aqui; eles mudam sozinhos nas 12 abas de mês.</t>
  </si>
  <si>
    <t xml:space="preserve">Grupo</t>
  </si>
  <si>
    <t xml:space="preserve">Categoria</t>
  </si>
  <si>
    <t xml:space="preserve">Moradia (aluguel ou prestação, condomínio)</t>
  </si>
  <si>
    <t xml:space="preserve">Contas da casa (luz, água, gás, internet, celular)</t>
  </si>
  <si>
    <t xml:space="preserve">Alimentação (supermercado e feira)</t>
  </si>
  <si>
    <t xml:space="preserve">Transporte (combustível, transporte público, aplicativo)</t>
  </si>
  <si>
    <t xml:space="preserve">Saúde (plano, farmácia, consultas)</t>
  </si>
  <si>
    <t xml:space="preserve">Outros essenciais</t>
  </si>
  <si>
    <t xml:space="preserve">Financiamento ou empréstimo</t>
  </si>
  <si>
    <t xml:space="preserve">Parcela do carro</t>
  </si>
  <si>
    <t xml:space="preserve">Escola, faculdade e cursos</t>
  </si>
  <si>
    <t xml:space="preserve">Seguros mensais</t>
  </si>
  <si>
    <t xml:space="preserve">Outras parcelas e mensalidades</t>
  </si>
  <si>
    <t xml:space="preserve">Restaurantes e delivery</t>
  </si>
  <si>
    <t xml:space="preserve">Lazer e passeios</t>
  </si>
  <si>
    <t xml:space="preserve">Compras (roupas, eletrônicos, casa)</t>
  </si>
  <si>
    <t xml:space="preserve">Assinaturas e aplicativos</t>
  </si>
  <si>
    <t xml:space="preserve">Cuidados pessoais</t>
  </si>
  <si>
    <t xml:space="preserve">Presentes e outros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</si>
</sst>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@"/>
    <numFmt numFmtId="167" formatCode="dd/mm/yyyy"/>
    <numFmt numFmtId="168" formatCode="&quot;R$ &quot;#,##0.00;[RED]&quot;-R$ &quot;#,##0.00;\-"/>
    <numFmt numFmtId="169" formatCode="0.0%;[RED]\-0.0%;\-"/>
    <numFmt numFmtId="170" formatCode="0.0"/>
    <numFmt numFmtId="171" formatCode="0.00%"/>
    <numFmt numFmtId="172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D9E1F2"/>
        <bgColor rgb="FFD9D9D9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EDEDED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FF99"/>
      <rgbColor rgb="FFA9D08E"/>
      <rgbColor rgb="FFFF99CC"/>
      <rgbColor rgb="FFCC99FF"/>
      <rgbColor rgb="FFF4B183"/>
      <rgbColor rgb="FF2E75B6"/>
      <rgbColor rgb="FF33CCCC"/>
      <rgbColor rgb="FF9BBB59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Renda, gastos e plano por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Resumo!A8</c:f>
              <c:strCache>
                <c:ptCount val="1"/>
                <c:pt idx="0">
                  <c:v>Renda 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Resumo!$B$4:$M$4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Resumo!$B$8:$M$8</c:f>
              <c:numCache>
                <c:formatCode>"R$ "#,##0.00;[RED]"-R$ "#,##0.00;\-</c:formatCode>
                <c:ptCount val="12"/>
                <c:pt idx="0">
                  <c:v>8000</c:v>
                </c:pt>
                <c:pt idx="1">
                  <c:v>8000</c:v>
                </c:pt>
                <c:pt idx="2">
                  <c:v>8000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Resumo!A22</c:f>
              <c:strCache>
                <c:ptCount val="1"/>
                <c:pt idx="0">
                  <c:v>Gastos do mês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Resumo!$B$4:$M$4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Resumo!$B$22:$M$22</c:f>
              <c:numCache>
                <c:formatCode>"R$ "#,##0.00;[RED]"-R$ "#,##0.00;\-</c:formatCode>
                <c:ptCount val="12"/>
                <c:pt idx="0">
                  <c:v>7680</c:v>
                </c:pt>
                <c:pt idx="1">
                  <c:v>6410</c:v>
                </c:pt>
                <c:pt idx="2">
                  <c:v>8390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Resumo!A16</c:f>
              <c:strCache>
                <c:ptCount val="1"/>
                <c:pt idx="0">
                  <c:v>Total do plano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Resumo!$B$4:$M$4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Resumo!$B$16:$M$16</c:f>
              <c:numCache>
                <c:formatCode>"R$ "#,##0.00;[RED]"-R$ "#,##0.00;\-</c:formatCode>
                <c:ptCount val="12"/>
                <c:pt idx="0">
                  <c:v>1600</c:v>
                </c:pt>
                <c:pt idx="1">
                  <c:v>1600</c:v>
                </c:pt>
                <c:pt idx="2">
                  <c:v>1600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34840885"/>
        <c:axId val="2988093"/>
      </c:barChart>
      <c:catAx>
        <c:axId val="348408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88093"/>
        <c:crosses val="autoZero"/>
        <c:auto val="1"/>
        <c:lblAlgn val="ctr"/>
        <c:lblOffset val="100"/>
        <c:noMultiLvlLbl val="0"/>
      </c:catAx>
      <c:valAx>
        <c:axId val="29880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;[RED]&quot;-R$ &quot;#,##0.0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8408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28</xdr:row>
      <xdr:rowOff>160560</xdr:rowOff>
    </xdr:from>
    <xdr:to>
      <xdr:col>6</xdr:col>
      <xdr:colOff>518760</xdr:colOff>
      <xdr:row>43</xdr:row>
      <xdr:rowOff>182880</xdr:rowOff>
    </xdr:to>
    <xdr:graphicFrame>
      <xdr:nvGraphicFramePr>
        <xdr:cNvPr id="0" name="Chart 1"/>
        <xdr:cNvGraphicFramePr/>
      </xdr:nvGraphicFramePr>
      <xdr:xfrm>
        <a:off x="0" y="552456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traderbrasil.com/blog/planejamento-financeiro-como-organizar-seu-dinheiro.php" TargetMode="External"/><Relationship Id="rId2" Type="http://schemas.openxmlformats.org/officeDocument/2006/relationships/hyperlink" Target="https://www.traderbrasil.com/blog/calculadora-orcamento-50-30-20-margem-mensal.php" TargetMode="External"/><Relationship Id="rId3" Type="http://schemas.openxmlformats.org/officeDocument/2006/relationships/hyperlink" Target="https://www.traderbrasil.com/blog/calculadora-quitar-dividas-bola-de-neve-avalanche.php" TargetMode="External"/><Relationship Id="rId4" Type="http://schemas.openxmlformats.org/officeDocument/2006/relationships/hyperlink" Target="https://www.traderbrasil.com/blog/calculadora-parcelado-ou-a-vista.php" TargetMode="External"/><Relationship Id="rId5" Type="http://schemas.openxmlformats.org/officeDocument/2006/relationships/hyperlink" Target="https://www.traderbrasil.com/blog/calculadora-reserva-de-emergencia.php" TargetMode="External"/><Relationship Id="rId6" Type="http://schemas.openxmlformats.org/officeDocument/2006/relationships/hyperlink" Target="https://www.traderbrasil.com/blog/calculadora-meta-financeira-quanto-guardar-por-mes.php" TargetMode="External"/><Relationship Id="rId7" Type="http://schemas.openxmlformats.org/officeDocument/2006/relationships/hyperlink" Target="https://www.traderbrasil.com/blog/calculadora-inflacao-ipca-poder-de-compra.php" TargetMode="External"/><Relationship Id="rId8" Type="http://schemas.openxmlformats.org/officeDocument/2006/relationships/hyperlink" Target="https://www.traderbrasil.com/blog/calculadora-de-aposentadoria-quanto-preciso-acumular.php" TargetMode="External"/><Relationship Id="rId9" Type="http://schemas.openxmlformats.org/officeDocument/2006/relationships/hyperlink" Target="https://www.traderbrasil.com/blog/calculadora-imposto-de-renda-2026-isencao-5-mil.php" TargetMode="External"/><Relationship Id="rId10" Type="http://schemas.openxmlformats.org/officeDocument/2006/relationships/hyperlink" Target="https://www.traderbrasil.com/blog/como-organizar-o-patrimonio-da-familia-e-do-negocio.php" TargetMode="External"/><Relationship Id="rId11" Type="http://schemas.openxmlformats.org/officeDocument/2006/relationships/hyperlink" Target="https://www.traderbrasil.com/blog/os-numeros-do-ano-financas-2026.php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C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7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n">
        <v>2026</v>
      </c>
    </row>
    <row r="6" customFormat="false" ht="15" hidden="false" customHeight="false" outlineLevel="0" collapsed="false">
      <c r="B6" s="3" t="s">
        <v>3</v>
      </c>
      <c r="C6" s="5" t="s">
        <v>4</v>
      </c>
    </row>
    <row r="7" customFormat="false" ht="15" hidden="false" customHeight="false" outlineLevel="0" collapsed="false">
      <c r="B7" s="3" t="s">
        <v>5</v>
      </c>
      <c r="C7" s="5" t="s">
        <v>6</v>
      </c>
    </row>
    <row r="9" customFormat="false" ht="15" hidden="false" customHeight="false" outlineLevel="0" collapsed="false">
      <c r="B9" s="3" t="s">
        <v>7</v>
      </c>
    </row>
    <row r="10" customFormat="false" ht="30" hidden="false" customHeight="true" outlineLevel="0" collapsed="false">
      <c r="B10" s="6" t="s">
        <v>8</v>
      </c>
      <c r="C10" s="7" t="s">
        <v>9</v>
      </c>
    </row>
    <row r="11" customFormat="false" ht="30" hidden="false" customHeight="true" outlineLevel="0" collapsed="false">
      <c r="B11" s="6" t="s">
        <v>10</v>
      </c>
      <c r="C11" s="7" t="s">
        <v>11</v>
      </c>
    </row>
    <row r="12" customFormat="false" ht="30" hidden="false" customHeight="true" outlineLevel="0" collapsed="false">
      <c r="B12" s="6" t="s">
        <v>12</v>
      </c>
      <c r="C12" s="7" t="s">
        <v>13</v>
      </c>
    </row>
    <row r="13" customFormat="false" ht="30" hidden="false" customHeight="true" outlineLevel="0" collapsed="false">
      <c r="B13" s="6" t="s">
        <v>14</v>
      </c>
      <c r="C13" s="7" t="s">
        <v>15</v>
      </c>
    </row>
    <row r="14" customFormat="false" ht="30" hidden="false" customHeight="true" outlineLevel="0" collapsed="false">
      <c r="B14" s="6" t="s">
        <v>16</v>
      </c>
      <c r="C14" s="7" t="s">
        <v>17</v>
      </c>
    </row>
    <row r="15" customFormat="false" ht="30" hidden="false" customHeight="true" outlineLevel="0" collapsed="false">
      <c r="B15" s="6" t="s">
        <v>18</v>
      </c>
      <c r="C15" s="7" t="s">
        <v>19</v>
      </c>
    </row>
    <row r="17" customFormat="false" ht="15" hidden="false" customHeight="false" outlineLevel="0" collapsed="false">
      <c r="B17" s="3" t="s">
        <v>20</v>
      </c>
    </row>
    <row r="18" customFormat="false" ht="15" hidden="false" customHeight="false" outlineLevel="0" collapsed="false">
      <c r="B18" s="8" t="s">
        <v>21</v>
      </c>
      <c r="C18" s="9" t="s">
        <v>22</v>
      </c>
    </row>
    <row r="19" customFormat="false" ht="15" hidden="false" customHeight="false" outlineLevel="0" collapsed="false">
      <c r="B19" s="10" t="s">
        <v>21</v>
      </c>
      <c r="C19" s="9" t="s">
        <v>23</v>
      </c>
    </row>
    <row r="20" customFormat="false" ht="15" hidden="false" customHeight="false" outlineLevel="0" collapsed="false">
      <c r="B20" s="11" t="s">
        <v>21</v>
      </c>
      <c r="C20" s="9" t="s">
        <v>24</v>
      </c>
    </row>
    <row r="22" customFormat="false" ht="15" hidden="false" customHeight="false" outlineLevel="0" collapsed="false">
      <c r="B22" s="3" t="s">
        <v>25</v>
      </c>
    </row>
    <row r="23" customFormat="false" ht="15" hidden="false" customHeight="false" outlineLevel="0" collapsed="false">
      <c r="B23" s="9" t="s">
        <v>26</v>
      </c>
      <c r="C23" s="12" t="s">
        <v>27</v>
      </c>
    </row>
    <row r="24" customFormat="false" ht="15" hidden="false" customHeight="false" outlineLevel="0" collapsed="false">
      <c r="B24" s="9" t="s">
        <v>28</v>
      </c>
      <c r="C24" s="12" t="s">
        <v>29</v>
      </c>
    </row>
    <row r="25" customFormat="false" ht="15" hidden="false" customHeight="false" outlineLevel="0" collapsed="false">
      <c r="B25" s="9" t="s">
        <v>30</v>
      </c>
      <c r="C25" s="12" t="s">
        <v>31</v>
      </c>
    </row>
    <row r="26" customFormat="false" ht="15" hidden="false" customHeight="false" outlineLevel="0" collapsed="false">
      <c r="B26" s="9" t="s">
        <v>32</v>
      </c>
      <c r="C26" s="12" t="s">
        <v>33</v>
      </c>
    </row>
    <row r="27" customFormat="false" ht="15" hidden="false" customHeight="false" outlineLevel="0" collapsed="false">
      <c r="B27" s="9" t="s">
        <v>34</v>
      </c>
      <c r="C27" s="12" t="s">
        <v>35</v>
      </c>
    </row>
    <row r="28" customFormat="false" ht="15" hidden="false" customHeight="false" outlineLevel="0" collapsed="false">
      <c r="B28" s="9" t="s">
        <v>36</v>
      </c>
      <c r="C28" s="12" t="s">
        <v>37</v>
      </c>
    </row>
    <row r="29" customFormat="false" ht="15" hidden="false" customHeight="false" outlineLevel="0" collapsed="false">
      <c r="B29" s="9" t="s">
        <v>38</v>
      </c>
      <c r="C29" s="12" t="s">
        <v>39</v>
      </c>
    </row>
    <row r="30" customFormat="false" ht="15" hidden="false" customHeight="false" outlineLevel="0" collapsed="false">
      <c r="B30" s="9" t="s">
        <v>40</v>
      </c>
      <c r="C30" s="12" t="s">
        <v>41</v>
      </c>
    </row>
    <row r="31" customFormat="false" ht="15" hidden="false" customHeight="false" outlineLevel="0" collapsed="false">
      <c r="B31" s="9" t="s">
        <v>42</v>
      </c>
      <c r="C31" s="12" t="s">
        <v>43</v>
      </c>
    </row>
    <row r="32" customFormat="false" ht="15" hidden="false" customHeight="false" outlineLevel="0" collapsed="false">
      <c r="B32" s="9" t="s">
        <v>44</v>
      </c>
      <c r="C32" s="12" t="s">
        <v>45</v>
      </c>
    </row>
    <row r="33" customFormat="false" ht="15" hidden="false" customHeight="false" outlineLevel="0" collapsed="false">
      <c r="B33" s="9" t="s">
        <v>46</v>
      </c>
      <c r="C33" s="12" t="s">
        <v>47</v>
      </c>
    </row>
    <row r="35" customFormat="false" ht="27.75" hidden="false" customHeight="true" outlineLevel="0" collapsed="false">
      <c r="B35" s="3" t="s">
        <v>48</v>
      </c>
      <c r="C35" s="7" t="s">
        <v>49</v>
      </c>
    </row>
    <row r="36" customFormat="false" ht="27.75" hidden="false" customHeight="true" outlineLevel="0" collapsed="false">
      <c r="B36" s="3" t="s">
        <v>50</v>
      </c>
      <c r="C36" s="7" t="s">
        <v>51</v>
      </c>
    </row>
    <row r="37" customFormat="false" ht="15" hidden="false" customHeight="false" outlineLevel="0" collapsed="false">
      <c r="B37" s="3" t="s">
        <v>52</v>
      </c>
      <c r="C37" s="9" t="s">
        <v>53</v>
      </c>
    </row>
  </sheetData>
  <hyperlinks>
    <hyperlink ref="C23" r:id="rId1" display="https://www.traderbrasil.com/blog/planejamento-financeiro-como-organizar-seu-dinheiro.php"/>
    <hyperlink ref="C24" r:id="rId2" display="https://www.traderbrasil.com/blog/calculadora-orcamento-50-30-20-margem-mensal.php"/>
    <hyperlink ref="C25" r:id="rId3" display="https://www.traderbrasil.com/blog/calculadora-quitar-dividas-bola-de-neve-avalanche.php"/>
    <hyperlink ref="C26" r:id="rId4" display="https://www.traderbrasil.com/blog/calculadora-parcelado-ou-a-vista.php"/>
    <hyperlink ref="C27" r:id="rId5" display="https://www.traderbrasil.com/blog/calculadora-reserva-de-emergencia.php"/>
    <hyperlink ref="C28" r:id="rId6" display="https://www.traderbrasil.com/blog/calculadora-meta-financeira-quanto-guardar-por-mes.php"/>
    <hyperlink ref="C29" r:id="rId7" display="https://www.traderbrasil.com/blog/calculadora-inflacao-ipca-poder-de-compra.php"/>
    <hyperlink ref="C30" r:id="rId8" display="https://www.traderbrasil.com/blog/calculadora-de-aposentadoria-quanto-preciso-acumular.php"/>
    <hyperlink ref="C31" r:id="rId9" display="https://www.traderbrasil.com/blog/calculadora-imposto-de-renda-2026-isencao-5-mil.php"/>
    <hyperlink ref="C32" r:id="rId10" display="https://www.traderbrasil.com/blog/como-organizar-o-patrimonio-da-familia-e-do-negocio.php"/>
    <hyperlink ref="C33" r:id="rId11" display="https://www.traderbrasil.com/blog/os-numeros-do-ano-financas-2026.ph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B2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4" min="4" style="0" width="46"/>
  </cols>
  <sheetData>
    <row r="2" customFormat="false" ht="17.35" hidden="false" customHeight="false" outlineLevel="0" collapsed="false">
      <c r="B2" s="1" t="s">
        <v>54</v>
      </c>
    </row>
    <row r="3" customFormat="false" ht="15" hidden="false" customHeight="false" outlineLevel="0" collapsed="false">
      <c r="B3" s="2" t="s">
        <v>55</v>
      </c>
    </row>
    <row r="5" customFormat="false" ht="15" hidden="false" customHeight="false" outlineLevel="0" collapsed="false">
      <c r="B5" s="13" t="s">
        <v>56</v>
      </c>
      <c r="C5" s="14"/>
      <c r="D5" s="14"/>
    </row>
    <row r="6" customFormat="false" ht="15" hidden="false" customHeight="false" outlineLevel="0" collapsed="false">
      <c r="B6" s="15" t="s">
        <v>57</v>
      </c>
      <c r="C6" s="5" t="s">
        <v>58</v>
      </c>
      <c r="D6" s="5"/>
    </row>
    <row r="7" customFormat="false" ht="15" hidden="false" customHeight="false" outlineLevel="0" collapsed="false">
      <c r="B7" s="15" t="s">
        <v>59</v>
      </c>
      <c r="C7" s="5" t="s">
        <v>60</v>
      </c>
      <c r="D7" s="5"/>
    </row>
    <row r="8" customFormat="false" ht="15" hidden="false" customHeight="false" outlineLevel="0" collapsed="false">
      <c r="B8" s="15" t="s">
        <v>61</v>
      </c>
      <c r="C8" s="5" t="s">
        <v>62</v>
      </c>
      <c r="D8" s="5"/>
    </row>
    <row r="9" customFormat="false" ht="15" hidden="false" customHeight="false" outlineLevel="0" collapsed="false">
      <c r="B9" s="15" t="s">
        <v>63</v>
      </c>
      <c r="C9" s="5" t="s">
        <v>64</v>
      </c>
      <c r="D9" s="5"/>
    </row>
    <row r="10" customFormat="false" ht="15" hidden="false" customHeight="false" outlineLevel="0" collapsed="false">
      <c r="B10" s="15" t="s">
        <v>65</v>
      </c>
      <c r="C10" s="5" t="s">
        <v>66</v>
      </c>
      <c r="D10" s="5"/>
    </row>
    <row r="11" customFormat="false" ht="15" hidden="false" customHeight="false" outlineLevel="0" collapsed="false">
      <c r="B11" s="15" t="s">
        <v>67</v>
      </c>
      <c r="C11" s="16" t="n">
        <v>46397</v>
      </c>
      <c r="D11" s="16"/>
    </row>
    <row r="13" customFormat="false" ht="15" hidden="false" customHeight="false" outlineLevel="0" collapsed="false">
      <c r="B13" s="13" t="s">
        <v>68</v>
      </c>
      <c r="C13" s="13" t="s">
        <v>69</v>
      </c>
      <c r="D13" s="13" t="s">
        <v>70</v>
      </c>
    </row>
    <row r="14" customFormat="false" ht="15" hidden="false" customHeight="false" outlineLevel="0" collapsed="false">
      <c r="B14" s="15" t="s">
        <v>71</v>
      </c>
      <c r="C14" s="5" t="s">
        <v>72</v>
      </c>
      <c r="D14" s="5"/>
    </row>
    <row r="15" customFormat="false" ht="15" hidden="false" customHeight="false" outlineLevel="0" collapsed="false">
      <c r="B15" s="15" t="s">
        <v>73</v>
      </c>
      <c r="C15" s="5" t="s">
        <v>72</v>
      </c>
      <c r="D15" s="5" t="s">
        <v>74</v>
      </c>
    </row>
    <row r="16" customFormat="false" ht="15" hidden="false" customHeight="false" outlineLevel="0" collapsed="false">
      <c r="B16" s="15" t="s">
        <v>75</v>
      </c>
      <c r="C16" s="5" t="s">
        <v>76</v>
      </c>
      <c r="D16" s="5" t="s">
        <v>77</v>
      </c>
    </row>
    <row r="17" customFormat="false" ht="15" hidden="false" customHeight="false" outlineLevel="0" collapsed="false">
      <c r="B17" s="15" t="s">
        <v>78</v>
      </c>
      <c r="C17" s="5" t="s">
        <v>76</v>
      </c>
      <c r="D17" s="5" t="s">
        <v>79</v>
      </c>
    </row>
    <row r="18" customFormat="false" ht="15" hidden="false" customHeight="false" outlineLevel="0" collapsed="false">
      <c r="B18" s="15" t="s">
        <v>80</v>
      </c>
      <c r="C18" s="5" t="s">
        <v>76</v>
      </c>
      <c r="D18" s="5" t="s">
        <v>81</v>
      </c>
    </row>
    <row r="19" customFormat="false" ht="15" hidden="false" customHeight="false" outlineLevel="0" collapsed="false">
      <c r="B19" s="15" t="s">
        <v>82</v>
      </c>
      <c r="C19" s="5" t="s">
        <v>83</v>
      </c>
      <c r="D19" s="5" t="s">
        <v>84</v>
      </c>
    </row>
    <row r="20" customFormat="false" ht="15" hidden="false" customHeight="false" outlineLevel="0" collapsed="false">
      <c r="B20" s="15" t="s">
        <v>85</v>
      </c>
      <c r="C20" s="5" t="s">
        <v>83</v>
      </c>
      <c r="D20" s="5" t="s">
        <v>86</v>
      </c>
    </row>
    <row r="22" customFormat="false" ht="15" hidden="false" customHeight="false" outlineLevel="0" collapsed="false">
      <c r="B22" s="13" t="s">
        <v>87</v>
      </c>
      <c r="C22" s="13" t="s">
        <v>88</v>
      </c>
      <c r="D22" s="13" t="s">
        <v>89</v>
      </c>
    </row>
    <row r="23" customFormat="false" ht="15" hidden="false" customHeight="false" outlineLevel="0" collapsed="false">
      <c r="B23" s="17" t="str">
        <f aca="false">IF(Metas!B6="","",Metas!B6)</f>
        <v>Entrada do apartamento</v>
      </c>
      <c r="C23" s="18" t="n">
        <f aca="false">IF(Metas!B6="","",Metas!I6)</f>
        <v>480</v>
      </c>
      <c r="D23" s="17" t="str">
        <f aca="false">IF(Metas!B6="","","R$ "&amp;FIXED(Metas!C6,0)&amp;" até "&amp;RIGHT("0"&amp;MONTH(Metas!D6),2)&amp;"/"&amp;YEAR(Metas!D6)&amp;"; "&amp;Metas!K6)</f>
        <v>R$ 80,000 até 12/2030; Vencimento perto da data da compra</v>
      </c>
    </row>
    <row r="24" customFormat="false" ht="15" hidden="false" customHeight="false" outlineLevel="0" collapsed="false">
      <c r="B24" s="17" t="str">
        <f aca="false">IF(Metas!B7="","",Metas!B7)</f>
        <v>Faculdade do filho</v>
      </c>
      <c r="C24" s="18" t="n">
        <f aca="false">IF(Metas!B7="","",Metas!I7)</f>
        <v>0</v>
      </c>
      <c r="D24" s="17" t="str">
        <f aca="false">IF(Metas!B7="","","R$ "&amp;FIXED(Metas!C7,0)&amp;" até "&amp;RIGHT("0"&amp;MONTH(Metas!D7),2)&amp;"/"&amp;YEAR(Metas!D7)&amp;"; "&amp;Metas!K7)</f>
        <v>R$ 100,000 até 01/2040; Longo prazo, conforme o perfil</v>
      </c>
    </row>
    <row r="25" customFormat="false" ht="15" hidden="false" customHeight="false" outlineLevel="0" collapsed="false">
      <c r="B25" s="17" t="str">
        <f aca="false">IF(Metas!B8="","",Metas!B8)</f>
        <v/>
      </c>
      <c r="C25" s="18" t="str">
        <f aca="false">IF(Metas!B8="","",Metas!I8)</f>
        <v/>
      </c>
      <c r="D25" s="17" t="str">
        <f aca="false">IF(Metas!B8="","","R$ "&amp;FIXED(Metas!C8,0)&amp;" até "&amp;RIGHT("0"&amp;MONTH(Metas!D8),2)&amp;"/"&amp;YEAR(Metas!D8)&amp;"; "&amp;Metas!K8)</f>
        <v/>
      </c>
    </row>
    <row r="26" customFormat="false" ht="15" hidden="false" customHeight="false" outlineLevel="0" collapsed="false">
      <c r="B26" s="17" t="str">
        <f aca="false">IF(Metas!B9="","",Metas!B9)</f>
        <v/>
      </c>
      <c r="C26" s="18" t="str">
        <f aca="false">IF(Metas!B9="","",Metas!I9)</f>
        <v/>
      </c>
      <c r="D26" s="17" t="str">
        <f aca="false">IF(Metas!B9="","","R$ "&amp;FIXED(Metas!C9,0)&amp;" até "&amp;RIGHT("0"&amp;MONTH(Metas!D9),2)&amp;"/"&amp;YEAR(Metas!D9)&amp;"; "&amp;Metas!K9)</f>
        <v/>
      </c>
    </row>
    <row r="27" customFormat="false" ht="15" hidden="false" customHeight="false" outlineLevel="0" collapsed="false">
      <c r="B27" s="17" t="str">
        <f aca="false">IF(Metas!B10="","",Metas!B10)</f>
        <v/>
      </c>
      <c r="C27" s="18" t="str">
        <f aca="false">IF(Metas!B10="","",Metas!I10)</f>
        <v/>
      </c>
      <c r="D27" s="17" t="str">
        <f aca="false">IF(Metas!B10="","","R$ "&amp;FIXED(Metas!C10,0)&amp;" até "&amp;RIGHT("0"&amp;MONTH(Metas!D10),2)&amp;"/"&amp;YEAR(Metas!D10)&amp;"; "&amp;Metas!K10)</f>
        <v/>
      </c>
    </row>
    <row r="28" customFormat="false" ht="15" hidden="false" customHeight="false" outlineLevel="0" collapsed="false">
      <c r="B28" s="19" t="s">
        <v>90</v>
      </c>
      <c r="C28" s="20" t="n">
        <f aca="false">Metas!I12</f>
        <v>480</v>
      </c>
    </row>
    <row r="29" customFormat="false" ht="15" hidden="false" customHeight="false" outlineLevel="0" collapsed="false">
      <c r="B29" s="19" t="s">
        <v>91</v>
      </c>
      <c r="C29" s="20" t="n">
        <f aca="false">Resumo!O15</f>
        <v>1606.66666666667</v>
      </c>
    </row>
    <row r="31" customFormat="false" ht="15" hidden="false" customHeight="false" outlineLevel="0" collapsed="false">
      <c r="B31" s="13" t="s">
        <v>92</v>
      </c>
      <c r="C31" s="14"/>
      <c r="D31" s="14"/>
    </row>
    <row r="32" customFormat="false" ht="30" hidden="false" customHeight="true" outlineLevel="0" collapsed="false">
      <c r="B32" s="21" t="s">
        <v>93</v>
      </c>
      <c r="C32" s="21"/>
      <c r="D32" s="21"/>
    </row>
  </sheetData>
  <mergeCells count="7">
    <mergeCell ref="C6:D6"/>
    <mergeCell ref="C7:D7"/>
    <mergeCell ref="C8:D8"/>
    <mergeCell ref="C9:D9"/>
    <mergeCell ref="C10:D10"/>
    <mergeCell ref="C11:D11"/>
    <mergeCell ref="B32:D32"/>
  </mergeCells>
  <dataValidations count="1">
    <dataValidation allowBlank="true" errorStyle="stop" operator="between" showDropDown="false" showErrorMessage="false" showInputMessage="false" sqref="C14:C20" type="list">
      <formula1>"Feito,Em andamento,Pendente"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O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3" min="2" style="0" width="13"/>
    <col collapsed="false" customWidth="true" hidden="false" outlineLevel="0" max="15" min="14" style="0" width="14"/>
  </cols>
  <sheetData>
    <row r="1" customFormat="false" ht="17.35" hidden="false" customHeight="false" outlineLevel="0" collapsed="false">
      <c r="A1" s="1" t="str">
        <f aca="false">"Resumo do ano de "&amp;Início!$C$5&amp;" (valores realizados)"</f>
        <v>Resumo do ano de 2026 (valores realizados)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22" t="s">
        <v>95</v>
      </c>
      <c r="B4" s="22" t="s">
        <v>96</v>
      </c>
      <c r="C4" s="22" t="s">
        <v>97</v>
      </c>
      <c r="D4" s="22" t="s">
        <v>98</v>
      </c>
      <c r="E4" s="22" t="s">
        <v>99</v>
      </c>
      <c r="F4" s="22" t="s">
        <v>100</v>
      </c>
      <c r="G4" s="22" t="s">
        <v>101</v>
      </c>
      <c r="H4" s="22" t="s">
        <v>102</v>
      </c>
      <c r="I4" s="22" t="s">
        <v>103</v>
      </c>
      <c r="J4" s="22" t="s">
        <v>104</v>
      </c>
      <c r="K4" s="22" t="s">
        <v>105</v>
      </c>
      <c r="L4" s="22" t="s">
        <v>106</v>
      </c>
      <c r="M4" s="22" t="s">
        <v>107</v>
      </c>
      <c r="N4" s="22" t="s">
        <v>108</v>
      </c>
      <c r="O4" s="22" t="s">
        <v>109</v>
      </c>
    </row>
    <row r="5" customFormat="false" ht="15" hidden="false" customHeight="false" outlineLevel="0" collapsed="false">
      <c r="A5" s="15" t="str">
        <f aca="false">"Renda líquida de "&amp;Início!$C$6</f>
        <v>Renda líquida de Paula</v>
      </c>
      <c r="B5" s="18" t="n">
        <f aca="false">N(Jan!C5)</f>
        <v>4500</v>
      </c>
      <c r="C5" s="18" t="n">
        <f aca="false">N(Fev!C5)</f>
        <v>4500</v>
      </c>
      <c r="D5" s="18" t="n">
        <f aca="false">N(Mar!C5)</f>
        <v>4500</v>
      </c>
      <c r="E5" s="18" t="n">
        <f aca="false">N(Abr!C5)</f>
        <v>0</v>
      </c>
      <c r="F5" s="18" t="n">
        <f aca="false">N(Mai!C5)</f>
        <v>0</v>
      </c>
      <c r="G5" s="18" t="n">
        <f aca="false">N(Jun!C5)</f>
        <v>0</v>
      </c>
      <c r="H5" s="18" t="n">
        <f aca="false">N(Jul!C5)</f>
        <v>0</v>
      </c>
      <c r="I5" s="18" t="n">
        <f aca="false">N(Ago!C5)</f>
        <v>0</v>
      </c>
      <c r="J5" s="18" t="n">
        <f aca="false">N(Set!C5)</f>
        <v>0</v>
      </c>
      <c r="K5" s="18" t="n">
        <f aca="false">N(Out!C5)</f>
        <v>0</v>
      </c>
      <c r="L5" s="18" t="n">
        <f aca="false">N(Nov!C5)</f>
        <v>0</v>
      </c>
      <c r="M5" s="18" t="n">
        <f aca="false">N(Dez!C5)</f>
        <v>0</v>
      </c>
      <c r="N5" s="23" t="n">
        <f aca="false">SUM(B5:M5)</f>
        <v>13500</v>
      </c>
      <c r="O5" s="23" t="n">
        <f aca="false">IFERROR(AVERAGEIF(B5:M5,"&lt;&gt;0"),0)</f>
        <v>4500</v>
      </c>
    </row>
    <row r="6" customFormat="false" ht="15" hidden="false" customHeight="false" outlineLevel="0" collapsed="false">
      <c r="A6" s="15" t="str">
        <f aca="false">"Renda líquida de "&amp;Início!$C$7</f>
        <v>Renda líquida de Marcos</v>
      </c>
      <c r="B6" s="18" t="n">
        <f aca="false">N(Jan!C6)</f>
        <v>3500</v>
      </c>
      <c r="C6" s="18" t="n">
        <f aca="false">N(Fev!C6)</f>
        <v>3500</v>
      </c>
      <c r="D6" s="18" t="n">
        <f aca="false">N(Mar!C6)</f>
        <v>3500</v>
      </c>
      <c r="E6" s="18" t="n">
        <f aca="false">N(Abr!C6)</f>
        <v>0</v>
      </c>
      <c r="F6" s="18" t="n">
        <f aca="false">N(Mai!C6)</f>
        <v>0</v>
      </c>
      <c r="G6" s="18" t="n">
        <f aca="false">N(Jun!C6)</f>
        <v>0</v>
      </c>
      <c r="H6" s="18" t="n">
        <f aca="false">N(Jul!C6)</f>
        <v>0</v>
      </c>
      <c r="I6" s="18" t="n">
        <f aca="false">N(Ago!C6)</f>
        <v>0</v>
      </c>
      <c r="J6" s="18" t="n">
        <f aca="false">N(Set!C6)</f>
        <v>0</v>
      </c>
      <c r="K6" s="18" t="n">
        <f aca="false">N(Out!C6)</f>
        <v>0</v>
      </c>
      <c r="L6" s="18" t="n">
        <f aca="false">N(Nov!C6)</f>
        <v>0</v>
      </c>
      <c r="M6" s="18" t="n">
        <f aca="false">N(Dez!C6)</f>
        <v>0</v>
      </c>
      <c r="N6" s="23" t="n">
        <f aca="false">SUM(B6:M6)</f>
        <v>10500</v>
      </c>
      <c r="O6" s="23" t="n">
        <f aca="false">IFERROR(AVERAGEIF(B6:M6,"&lt;&gt;0"),0)</f>
        <v>3500</v>
      </c>
    </row>
    <row r="7" customFormat="false" ht="15" hidden="false" customHeight="false" outlineLevel="0" collapsed="false">
      <c r="A7" s="15" t="s">
        <v>110</v>
      </c>
      <c r="B7" s="18" t="n">
        <f aca="false">N(Jan!C8)</f>
        <v>8000</v>
      </c>
      <c r="C7" s="18" t="n">
        <f aca="false">N(Fev!C8)</f>
        <v>8000</v>
      </c>
      <c r="D7" s="18" t="n">
        <f aca="false">N(Mar!C8)</f>
        <v>8000</v>
      </c>
      <c r="E7" s="18" t="n">
        <f aca="false">N(Abr!C8)</f>
        <v>0</v>
      </c>
      <c r="F7" s="18" t="n">
        <f aca="false">N(Mai!C8)</f>
        <v>0</v>
      </c>
      <c r="G7" s="18" t="n">
        <f aca="false">N(Jun!C8)</f>
        <v>0</v>
      </c>
      <c r="H7" s="18" t="n">
        <f aca="false">N(Jul!C8)</f>
        <v>0</v>
      </c>
      <c r="I7" s="18" t="n">
        <f aca="false">N(Ago!C8)</f>
        <v>0</v>
      </c>
      <c r="J7" s="18" t="n">
        <f aca="false">N(Set!C8)</f>
        <v>0</v>
      </c>
      <c r="K7" s="18" t="n">
        <f aca="false">N(Out!C8)</f>
        <v>0</v>
      </c>
      <c r="L7" s="18" t="n">
        <f aca="false">N(Nov!C8)</f>
        <v>0</v>
      </c>
      <c r="M7" s="18" t="n">
        <f aca="false">N(Dez!C8)</f>
        <v>0</v>
      </c>
      <c r="N7" s="23" t="n">
        <f aca="false">SUM(B7:M7)</f>
        <v>24000</v>
      </c>
      <c r="O7" s="23" t="n">
        <f aca="false">IFERROR(AVERAGEIF(B7:M7,"&lt;&gt;0"),0)</f>
        <v>8000</v>
      </c>
    </row>
    <row r="8" customFormat="false" ht="15" hidden="false" customHeight="false" outlineLevel="0" collapsed="false">
      <c r="A8" s="24" t="s">
        <v>111</v>
      </c>
      <c r="B8" s="18" t="n">
        <f aca="false">N(Jan!C10)</f>
        <v>8000</v>
      </c>
      <c r="C8" s="18" t="n">
        <f aca="false">N(Fev!C10)</f>
        <v>8000</v>
      </c>
      <c r="D8" s="18" t="n">
        <f aca="false">N(Mar!C10)</f>
        <v>8000</v>
      </c>
      <c r="E8" s="18" t="n">
        <f aca="false">N(Abr!C10)</f>
        <v>0</v>
      </c>
      <c r="F8" s="18" t="n">
        <f aca="false">N(Mai!C10)</f>
        <v>0</v>
      </c>
      <c r="G8" s="18" t="n">
        <f aca="false">N(Jun!C10)</f>
        <v>0</v>
      </c>
      <c r="H8" s="18" t="n">
        <f aca="false">N(Jul!C10)</f>
        <v>0</v>
      </c>
      <c r="I8" s="18" t="n">
        <f aca="false">N(Ago!C10)</f>
        <v>0</v>
      </c>
      <c r="J8" s="18" t="n">
        <f aca="false">N(Set!C10)</f>
        <v>0</v>
      </c>
      <c r="K8" s="18" t="n">
        <f aca="false">N(Out!C10)</f>
        <v>0</v>
      </c>
      <c r="L8" s="18" t="n">
        <f aca="false">N(Nov!C10)</f>
        <v>0</v>
      </c>
      <c r="M8" s="18" t="n">
        <f aca="false">N(Dez!C10)</f>
        <v>0</v>
      </c>
      <c r="N8" s="23" t="n">
        <f aca="false">SUM(B8:M8)</f>
        <v>24000</v>
      </c>
      <c r="O8" s="23" t="n">
        <f aca="false">IFERROR(AVERAGEIF(B8:M8,"&lt;&gt;0"),0)</f>
        <v>8000</v>
      </c>
    </row>
    <row r="9" customFormat="false" ht="15" hidden="false" customHeight="false" outlineLevel="0" collapsed="false">
      <c r="A9" s="15" t="s">
        <v>112</v>
      </c>
      <c r="B9" s="18" t="n">
        <f aca="false">N(Jan!C19)</f>
        <v>4170</v>
      </c>
      <c r="C9" s="18" t="n">
        <f aca="false">N(Fev!C19)</f>
        <v>4170</v>
      </c>
      <c r="D9" s="18" t="n">
        <f aca="false">N(Mar!C19)</f>
        <v>4220</v>
      </c>
      <c r="E9" s="18" t="n">
        <f aca="false">N(Abr!C19)</f>
        <v>0</v>
      </c>
      <c r="F9" s="18" t="n">
        <f aca="false">N(Mai!C19)</f>
        <v>0</v>
      </c>
      <c r="G9" s="18" t="n">
        <f aca="false">N(Jun!C19)</f>
        <v>0</v>
      </c>
      <c r="H9" s="18" t="n">
        <f aca="false">N(Jul!C19)</f>
        <v>0</v>
      </c>
      <c r="I9" s="18" t="n">
        <f aca="false">N(Ago!C19)</f>
        <v>0</v>
      </c>
      <c r="J9" s="18" t="n">
        <f aca="false">N(Set!C19)</f>
        <v>0</v>
      </c>
      <c r="K9" s="18" t="n">
        <f aca="false">N(Out!C19)</f>
        <v>0</v>
      </c>
      <c r="L9" s="18" t="n">
        <f aca="false">N(Nov!C19)</f>
        <v>0</v>
      </c>
      <c r="M9" s="18" t="n">
        <f aca="false">N(Dez!C19)</f>
        <v>0</v>
      </c>
      <c r="N9" s="23" t="n">
        <f aca="false">SUM(B9:M9)</f>
        <v>12560</v>
      </c>
      <c r="O9" s="23" t="n">
        <f aca="false">IFERROR(AVERAGEIF(B9:M9,"&lt;&gt;0"),0)</f>
        <v>4186.66666666667</v>
      </c>
    </row>
    <row r="10" customFormat="false" ht="15" hidden="false" customHeight="false" outlineLevel="0" collapsed="false">
      <c r="A10" s="15" t="s">
        <v>113</v>
      </c>
      <c r="B10" s="18" t="n">
        <f aca="false">N(Jan!C27)</f>
        <v>1300</v>
      </c>
      <c r="C10" s="18" t="n">
        <f aca="false">N(Fev!C27)</f>
        <v>1300</v>
      </c>
      <c r="D10" s="18" t="n">
        <f aca="false">N(Mar!C27)</f>
        <v>1300</v>
      </c>
      <c r="E10" s="18" t="n">
        <f aca="false">N(Abr!C27)</f>
        <v>0</v>
      </c>
      <c r="F10" s="18" t="n">
        <f aca="false">N(Mai!C27)</f>
        <v>0</v>
      </c>
      <c r="G10" s="18" t="n">
        <f aca="false">N(Jun!C27)</f>
        <v>0</v>
      </c>
      <c r="H10" s="18" t="n">
        <f aca="false">N(Jul!C27)</f>
        <v>0</v>
      </c>
      <c r="I10" s="18" t="n">
        <f aca="false">N(Ago!C27)</f>
        <v>0</v>
      </c>
      <c r="J10" s="18" t="n">
        <f aca="false">N(Set!C27)</f>
        <v>0</v>
      </c>
      <c r="K10" s="18" t="n">
        <f aca="false">N(Out!C27)</f>
        <v>0</v>
      </c>
      <c r="L10" s="18" t="n">
        <f aca="false">N(Nov!C27)</f>
        <v>0</v>
      </c>
      <c r="M10" s="18" t="n">
        <f aca="false">N(Dez!C27)</f>
        <v>0</v>
      </c>
      <c r="N10" s="23" t="n">
        <f aca="false">SUM(B10:M10)</f>
        <v>3900</v>
      </c>
      <c r="O10" s="23" t="n">
        <f aca="false">IFERROR(AVERAGEIF(B10:M10,"&lt;&gt;0"),0)</f>
        <v>1300</v>
      </c>
    </row>
    <row r="11" customFormat="false" ht="15" hidden="false" customHeight="false" outlineLevel="0" collapsed="false">
      <c r="A11" s="15" t="s">
        <v>114</v>
      </c>
      <c r="B11" s="18" t="n">
        <f aca="false">N(Jan!C30)</f>
        <v>500</v>
      </c>
      <c r="C11" s="18" t="n">
        <f aca="false">N(Fev!C30)</f>
        <v>500</v>
      </c>
      <c r="D11" s="18" t="n">
        <f aca="false">N(Mar!C30)</f>
        <v>500</v>
      </c>
      <c r="E11" s="18" t="n">
        <f aca="false">N(Abr!C30)</f>
        <v>0</v>
      </c>
      <c r="F11" s="18" t="n">
        <f aca="false">N(Mai!C30)</f>
        <v>0</v>
      </c>
      <c r="G11" s="18" t="n">
        <f aca="false">N(Jun!C30)</f>
        <v>0</v>
      </c>
      <c r="H11" s="18" t="n">
        <f aca="false">N(Jul!C30)</f>
        <v>0</v>
      </c>
      <c r="I11" s="18" t="n">
        <f aca="false">N(Ago!C30)</f>
        <v>0</v>
      </c>
      <c r="J11" s="18" t="n">
        <f aca="false">N(Set!C30)</f>
        <v>0</v>
      </c>
      <c r="K11" s="18" t="n">
        <f aca="false">N(Out!C30)</f>
        <v>0</v>
      </c>
      <c r="L11" s="18" t="n">
        <f aca="false">N(Nov!C30)</f>
        <v>0</v>
      </c>
      <c r="M11" s="18" t="n">
        <f aca="false">N(Dez!C30)</f>
        <v>0</v>
      </c>
      <c r="N11" s="23" t="n">
        <f aca="false">SUM(B11:M11)</f>
        <v>1500</v>
      </c>
      <c r="O11" s="23" t="n">
        <f aca="false">IFERROR(AVERAGEIF(B11:M11,"&lt;&gt;0"),0)</f>
        <v>500</v>
      </c>
    </row>
    <row r="12" customFormat="false" ht="15" hidden="false" customHeight="false" outlineLevel="0" collapsed="false">
      <c r="A12" s="15" t="s">
        <v>115</v>
      </c>
      <c r="B12" s="18" t="n">
        <f aca="false">N(Jan!C31)</f>
        <v>1800</v>
      </c>
      <c r="C12" s="18" t="n">
        <f aca="false">N(Fev!C31)</f>
        <v>600</v>
      </c>
      <c r="D12" s="18" t="n">
        <f aca="false">N(Mar!C31)</f>
        <v>2400</v>
      </c>
      <c r="E12" s="18" t="n">
        <f aca="false">N(Abr!C31)</f>
        <v>0</v>
      </c>
      <c r="F12" s="18" t="n">
        <f aca="false">N(Mai!C31)</f>
        <v>0</v>
      </c>
      <c r="G12" s="18" t="n">
        <f aca="false">N(Jun!C31)</f>
        <v>0</v>
      </c>
      <c r="H12" s="18" t="n">
        <f aca="false">N(Jul!C31)</f>
        <v>0</v>
      </c>
      <c r="I12" s="18" t="n">
        <f aca="false">N(Ago!C31)</f>
        <v>0</v>
      </c>
      <c r="J12" s="18" t="n">
        <f aca="false">N(Set!C31)</f>
        <v>0</v>
      </c>
      <c r="K12" s="18" t="n">
        <f aca="false">N(Out!C31)</f>
        <v>0</v>
      </c>
      <c r="L12" s="18" t="n">
        <f aca="false">N(Nov!C31)</f>
        <v>0</v>
      </c>
      <c r="M12" s="18" t="n">
        <f aca="false">N(Dez!C31)</f>
        <v>0</v>
      </c>
      <c r="N12" s="23" t="n">
        <f aca="false">SUM(B12:M12)</f>
        <v>4800</v>
      </c>
      <c r="O12" s="23" t="n">
        <f aca="false">IFERROR(AVERAGEIF(B12:M12,"&lt;&gt;0"),0)</f>
        <v>1600</v>
      </c>
    </row>
    <row r="13" customFormat="false" ht="15" hidden="false" customHeight="false" outlineLevel="0" collapsed="false">
      <c r="A13" s="19" t="s">
        <v>116</v>
      </c>
      <c r="B13" s="18" t="n">
        <f aca="false">N(Jan!C33)</f>
        <v>2030</v>
      </c>
      <c r="C13" s="18" t="n">
        <f aca="false">N(Fev!C33)</f>
        <v>2030</v>
      </c>
      <c r="D13" s="18" t="n">
        <f aca="false">N(Mar!C33)</f>
        <v>1980</v>
      </c>
      <c r="E13" s="18" t="n">
        <f aca="false">N(Abr!C33)</f>
        <v>0</v>
      </c>
      <c r="F13" s="18" t="n">
        <f aca="false">N(Mai!C33)</f>
        <v>0</v>
      </c>
      <c r="G13" s="18" t="n">
        <f aca="false">N(Jun!C33)</f>
        <v>0</v>
      </c>
      <c r="H13" s="18" t="n">
        <f aca="false">N(Jul!C33)</f>
        <v>0</v>
      </c>
      <c r="I13" s="18" t="n">
        <f aca="false">N(Ago!C33)</f>
        <v>0</v>
      </c>
      <c r="J13" s="18" t="n">
        <f aca="false">N(Set!C33)</f>
        <v>0</v>
      </c>
      <c r="K13" s="18" t="n">
        <f aca="false">N(Out!C33)</f>
        <v>0</v>
      </c>
      <c r="L13" s="18" t="n">
        <f aca="false">N(Nov!C33)</f>
        <v>0</v>
      </c>
      <c r="M13" s="18" t="n">
        <f aca="false">N(Dez!C33)</f>
        <v>0</v>
      </c>
      <c r="N13" s="23" t="n">
        <f aca="false">SUM(B13:M13)</f>
        <v>6040</v>
      </c>
      <c r="O13" s="23" t="n">
        <f aca="false">IFERROR(AVERAGEIF(B13:M13,"&lt;&gt;0"),0)</f>
        <v>2013.33333333333</v>
      </c>
    </row>
    <row r="14" customFormat="false" ht="15" hidden="false" customHeight="false" outlineLevel="0" collapsed="false">
      <c r="A14" s="15" t="s">
        <v>117</v>
      </c>
      <c r="B14" s="18" t="n">
        <f aca="false">N(Jan!C42)</f>
        <v>410</v>
      </c>
      <c r="C14" s="18" t="n">
        <f aca="false">N(Fev!C42)</f>
        <v>340</v>
      </c>
      <c r="D14" s="18" t="n">
        <f aca="false">N(Mar!C42)</f>
        <v>470</v>
      </c>
      <c r="E14" s="18" t="n">
        <f aca="false">N(Abr!C42)</f>
        <v>0</v>
      </c>
      <c r="F14" s="18" t="n">
        <f aca="false">N(Mai!C42)</f>
        <v>0</v>
      </c>
      <c r="G14" s="18" t="n">
        <f aca="false">N(Jun!C42)</f>
        <v>0</v>
      </c>
      <c r="H14" s="18" t="n">
        <f aca="false">N(Jul!C42)</f>
        <v>0</v>
      </c>
      <c r="I14" s="18" t="n">
        <f aca="false">N(Ago!C42)</f>
        <v>0</v>
      </c>
      <c r="J14" s="18" t="n">
        <f aca="false">N(Set!C42)</f>
        <v>0</v>
      </c>
      <c r="K14" s="18" t="n">
        <f aca="false">N(Out!C42)</f>
        <v>0</v>
      </c>
      <c r="L14" s="18" t="n">
        <f aca="false">N(Nov!C42)</f>
        <v>0</v>
      </c>
      <c r="M14" s="18" t="n">
        <f aca="false">N(Dez!C42)</f>
        <v>0</v>
      </c>
      <c r="N14" s="23" t="n">
        <f aca="false">SUM(B14:M14)</f>
        <v>1220</v>
      </c>
      <c r="O14" s="23" t="n">
        <f aca="false">IFERROR(AVERAGEIF(B14:M14,"&lt;&gt;0"),0)</f>
        <v>406.666666666667</v>
      </c>
    </row>
    <row r="15" customFormat="false" ht="15" hidden="false" customHeight="false" outlineLevel="0" collapsed="false">
      <c r="A15" s="19" t="s">
        <v>118</v>
      </c>
      <c r="B15" s="18" t="n">
        <f aca="false">N(Jan!C43)</f>
        <v>1620</v>
      </c>
      <c r="C15" s="18" t="n">
        <f aca="false">N(Fev!C43)</f>
        <v>1690</v>
      </c>
      <c r="D15" s="18" t="n">
        <f aca="false">N(Mar!C43)</f>
        <v>1510</v>
      </c>
      <c r="E15" s="18" t="n">
        <f aca="false">N(Abr!C43)</f>
        <v>0</v>
      </c>
      <c r="F15" s="18" t="n">
        <f aca="false">N(Mai!C43)</f>
        <v>0</v>
      </c>
      <c r="G15" s="18" t="n">
        <f aca="false">N(Jun!C43)</f>
        <v>0</v>
      </c>
      <c r="H15" s="18" t="n">
        <f aca="false">N(Jul!C43)</f>
        <v>0</v>
      </c>
      <c r="I15" s="18" t="n">
        <f aca="false">N(Ago!C43)</f>
        <v>0</v>
      </c>
      <c r="J15" s="18" t="n">
        <f aca="false">N(Set!C43)</f>
        <v>0</v>
      </c>
      <c r="K15" s="18" t="n">
        <f aca="false">N(Out!C43)</f>
        <v>0</v>
      </c>
      <c r="L15" s="18" t="n">
        <f aca="false">N(Nov!C43)</f>
        <v>0</v>
      </c>
      <c r="M15" s="18" t="n">
        <f aca="false">N(Dez!C43)</f>
        <v>0</v>
      </c>
      <c r="N15" s="23" t="n">
        <f aca="false">SUM(B15:M15)</f>
        <v>4820</v>
      </c>
      <c r="O15" s="23" t="n">
        <f aca="false">IFERROR(AVERAGEIF(B15:M15,"&lt;&gt;0"),0)</f>
        <v>1606.66666666667</v>
      </c>
    </row>
    <row r="16" customFormat="false" ht="15" hidden="false" customHeight="false" outlineLevel="0" collapsed="false">
      <c r="A16" s="24" t="s">
        <v>119</v>
      </c>
      <c r="B16" s="18" t="n">
        <f aca="false">N(Jan!C55)</f>
        <v>1600</v>
      </c>
      <c r="C16" s="18" t="n">
        <f aca="false">N(Fev!C55)</f>
        <v>1600</v>
      </c>
      <c r="D16" s="18" t="n">
        <f aca="false">N(Mar!C55)</f>
        <v>1600</v>
      </c>
      <c r="E16" s="18" t="n">
        <f aca="false">N(Abr!C55)</f>
        <v>0</v>
      </c>
      <c r="F16" s="18" t="n">
        <f aca="false">N(Mai!C55)</f>
        <v>0</v>
      </c>
      <c r="G16" s="18" t="n">
        <f aca="false">N(Jun!C55)</f>
        <v>0</v>
      </c>
      <c r="H16" s="18" t="n">
        <f aca="false">N(Jul!C55)</f>
        <v>0</v>
      </c>
      <c r="I16" s="18" t="n">
        <f aca="false">N(Ago!C55)</f>
        <v>0</v>
      </c>
      <c r="J16" s="18" t="n">
        <f aca="false">N(Set!C55)</f>
        <v>0</v>
      </c>
      <c r="K16" s="18" t="n">
        <f aca="false">N(Out!C55)</f>
        <v>0</v>
      </c>
      <c r="L16" s="18" t="n">
        <f aca="false">N(Nov!C55)</f>
        <v>0</v>
      </c>
      <c r="M16" s="18" t="n">
        <f aca="false">N(Dez!C55)</f>
        <v>0</v>
      </c>
      <c r="N16" s="23" t="n">
        <f aca="false">SUM(B16:M16)</f>
        <v>4800</v>
      </c>
      <c r="O16" s="23" t="n">
        <f aca="false">IFERROR(AVERAGEIF(B16:M16,"&lt;&gt;0"),0)</f>
        <v>1600</v>
      </c>
    </row>
    <row r="17" customFormat="false" ht="15" hidden="false" customHeight="false" outlineLevel="0" collapsed="false">
      <c r="A17" s="19" t="s">
        <v>120</v>
      </c>
      <c r="B17" s="18" t="n">
        <f aca="false">N(Jan!C57)</f>
        <v>20</v>
      </c>
      <c r="C17" s="18" t="n">
        <f aca="false">N(Fev!C57)</f>
        <v>90</v>
      </c>
      <c r="D17" s="18" t="n">
        <f aca="false">N(Mar!C57)</f>
        <v>-90</v>
      </c>
      <c r="E17" s="18" t="n">
        <f aca="false">N(Abr!C57)</f>
        <v>0</v>
      </c>
      <c r="F17" s="18" t="n">
        <f aca="false">N(Mai!C57)</f>
        <v>0</v>
      </c>
      <c r="G17" s="18" t="n">
        <f aca="false">N(Jun!C57)</f>
        <v>0</v>
      </c>
      <c r="H17" s="18" t="n">
        <f aca="false">N(Jul!C57)</f>
        <v>0</v>
      </c>
      <c r="I17" s="18" t="n">
        <f aca="false">N(Ago!C57)</f>
        <v>0</v>
      </c>
      <c r="J17" s="18" t="n">
        <f aca="false">N(Set!C57)</f>
        <v>0</v>
      </c>
      <c r="K17" s="18" t="n">
        <f aca="false">N(Out!C57)</f>
        <v>0</v>
      </c>
      <c r="L17" s="18" t="n">
        <f aca="false">N(Nov!C57)</f>
        <v>0</v>
      </c>
      <c r="M17" s="18" t="n">
        <f aca="false">N(Dez!C57)</f>
        <v>0</v>
      </c>
      <c r="N17" s="23" t="n">
        <f aca="false">SUM(B17:M17)</f>
        <v>20</v>
      </c>
      <c r="O17" s="23" t="n">
        <f aca="false">IFERROR(AVERAGEIF(B17:M17,"&lt;&gt;0"),0)</f>
        <v>6.66666666666667</v>
      </c>
    </row>
    <row r="18" customFormat="false" ht="15" hidden="false" customHeight="false" outlineLevel="0" collapsed="false">
      <c r="A18" s="15" t="s">
        <v>121</v>
      </c>
      <c r="B18" s="18" t="n">
        <f aca="false">N(Jan!C46)</f>
        <v>0</v>
      </c>
      <c r="C18" s="18" t="n">
        <f aca="false">N(Fev!C46)</f>
        <v>0</v>
      </c>
      <c r="D18" s="18" t="n">
        <f aca="false">N(Mar!C46)</f>
        <v>0</v>
      </c>
      <c r="E18" s="18" t="n">
        <f aca="false">N(Abr!C46)</f>
        <v>0</v>
      </c>
      <c r="F18" s="18" t="n">
        <f aca="false">N(Mai!C46)</f>
        <v>0</v>
      </c>
      <c r="G18" s="18" t="n">
        <f aca="false">N(Jun!C46)</f>
        <v>0</v>
      </c>
      <c r="H18" s="18" t="n">
        <f aca="false">N(Jul!C46)</f>
        <v>0</v>
      </c>
      <c r="I18" s="18" t="n">
        <f aca="false">N(Ago!C46)</f>
        <v>0</v>
      </c>
      <c r="J18" s="18" t="n">
        <f aca="false">N(Set!C46)</f>
        <v>0</v>
      </c>
      <c r="K18" s="18" t="n">
        <f aca="false">N(Out!C46)</f>
        <v>0</v>
      </c>
      <c r="L18" s="18" t="n">
        <f aca="false">N(Nov!C46)</f>
        <v>0</v>
      </c>
      <c r="M18" s="18" t="n">
        <f aca="false">N(Dez!C46)</f>
        <v>0</v>
      </c>
      <c r="N18" s="23" t="n">
        <f aca="false">SUM(B18:M18)</f>
        <v>0</v>
      </c>
      <c r="O18" s="23" t="n">
        <f aca="false">IFERROR(AVERAGEIF(B18:M18,"&lt;&gt;0"),0)</f>
        <v>0</v>
      </c>
    </row>
    <row r="19" customFormat="false" ht="15" hidden="false" customHeight="false" outlineLevel="0" collapsed="false">
      <c r="A19" s="15" t="s">
        <v>122</v>
      </c>
      <c r="B19" s="18" t="n">
        <f aca="false">N(Jan!C47)</f>
        <v>1000</v>
      </c>
      <c r="C19" s="18" t="n">
        <f aca="false">N(Fev!C47)</f>
        <v>1000</v>
      </c>
      <c r="D19" s="18" t="n">
        <f aca="false">N(Mar!C47)</f>
        <v>1000</v>
      </c>
      <c r="E19" s="18" t="n">
        <f aca="false">N(Abr!C47)</f>
        <v>0</v>
      </c>
      <c r="F19" s="18" t="n">
        <f aca="false">N(Mai!C47)</f>
        <v>0</v>
      </c>
      <c r="G19" s="18" t="n">
        <f aca="false">N(Jun!C47)</f>
        <v>0</v>
      </c>
      <c r="H19" s="18" t="n">
        <f aca="false">N(Jul!C47)</f>
        <v>0</v>
      </c>
      <c r="I19" s="18" t="n">
        <f aca="false">N(Ago!C47)</f>
        <v>0</v>
      </c>
      <c r="J19" s="18" t="n">
        <f aca="false">N(Set!C47)</f>
        <v>0</v>
      </c>
      <c r="K19" s="18" t="n">
        <f aca="false">N(Out!C47)</f>
        <v>0</v>
      </c>
      <c r="L19" s="18" t="n">
        <f aca="false">N(Nov!C47)</f>
        <v>0</v>
      </c>
      <c r="M19" s="18" t="n">
        <f aca="false">N(Dez!C47)</f>
        <v>0</v>
      </c>
      <c r="N19" s="23" t="n">
        <f aca="false">SUM(B19:M19)</f>
        <v>3000</v>
      </c>
      <c r="O19" s="23" t="n">
        <f aca="false">IFERROR(AVERAGEIF(B19:M19,"&lt;&gt;0"),0)</f>
        <v>1000</v>
      </c>
    </row>
    <row r="20" customFormat="false" ht="15" hidden="false" customHeight="false" outlineLevel="0" collapsed="false">
      <c r="A20" s="15" t="s">
        <v>123</v>
      </c>
      <c r="B20" s="18" t="n">
        <f aca="false">N(Jan!C48)</f>
        <v>120</v>
      </c>
      <c r="C20" s="18" t="n">
        <f aca="false">N(Fev!C48)</f>
        <v>120</v>
      </c>
      <c r="D20" s="18" t="n">
        <f aca="false">N(Mar!C48)</f>
        <v>120</v>
      </c>
      <c r="E20" s="18" t="n">
        <f aca="false">N(Abr!C48)</f>
        <v>0</v>
      </c>
      <c r="F20" s="18" t="n">
        <f aca="false">N(Mai!C48)</f>
        <v>0</v>
      </c>
      <c r="G20" s="18" t="n">
        <f aca="false">N(Jun!C48)</f>
        <v>0</v>
      </c>
      <c r="H20" s="18" t="n">
        <f aca="false">N(Jul!C48)</f>
        <v>0</v>
      </c>
      <c r="I20" s="18" t="n">
        <f aca="false">N(Ago!C48)</f>
        <v>0</v>
      </c>
      <c r="J20" s="18" t="n">
        <f aca="false">N(Set!C48)</f>
        <v>0</v>
      </c>
      <c r="K20" s="18" t="n">
        <f aca="false">N(Out!C48)</f>
        <v>0</v>
      </c>
      <c r="L20" s="18" t="n">
        <f aca="false">N(Nov!C48)</f>
        <v>0</v>
      </c>
      <c r="M20" s="18" t="n">
        <f aca="false">N(Dez!C48)</f>
        <v>0</v>
      </c>
      <c r="N20" s="23" t="n">
        <f aca="false">SUM(B20:M20)</f>
        <v>360</v>
      </c>
      <c r="O20" s="23" t="n">
        <f aca="false">IFERROR(AVERAGEIF(B20:M20,"&lt;&gt;0"),0)</f>
        <v>120</v>
      </c>
    </row>
    <row r="21" customFormat="false" ht="15" hidden="false" customHeight="false" outlineLevel="0" collapsed="false">
      <c r="A21" s="15" t="s">
        <v>124</v>
      </c>
      <c r="B21" s="18" t="n">
        <f aca="false">N(Jan!C54)</f>
        <v>0</v>
      </c>
      <c r="C21" s="18" t="n">
        <f aca="false">N(Fev!C54)</f>
        <v>0</v>
      </c>
      <c r="D21" s="18" t="n">
        <f aca="false">N(Mar!C54)</f>
        <v>0</v>
      </c>
      <c r="E21" s="18" t="n">
        <f aca="false">N(Abr!C54)</f>
        <v>0</v>
      </c>
      <c r="F21" s="18" t="n">
        <f aca="false">N(Mai!C54)</f>
        <v>0</v>
      </c>
      <c r="G21" s="18" t="n">
        <f aca="false">N(Jun!C54)</f>
        <v>0</v>
      </c>
      <c r="H21" s="18" t="n">
        <f aca="false">N(Jul!C54)</f>
        <v>0</v>
      </c>
      <c r="I21" s="18" t="n">
        <f aca="false">N(Ago!C54)</f>
        <v>0</v>
      </c>
      <c r="J21" s="18" t="n">
        <f aca="false">N(Set!C54)</f>
        <v>0</v>
      </c>
      <c r="K21" s="18" t="n">
        <f aca="false">N(Out!C54)</f>
        <v>0</v>
      </c>
      <c r="L21" s="18" t="n">
        <f aca="false">N(Nov!C54)</f>
        <v>0</v>
      </c>
      <c r="M21" s="18" t="n">
        <f aca="false">N(Dez!C54)</f>
        <v>0</v>
      </c>
      <c r="N21" s="23" t="n">
        <f aca="false">SUM(B21:M21)</f>
        <v>0</v>
      </c>
      <c r="O21" s="23" t="n">
        <f aca="false">IFERROR(AVERAGEIF(B21:M21,"&lt;&gt;0"),0)</f>
        <v>0</v>
      </c>
    </row>
    <row r="22" customFormat="false" ht="15" hidden="false" customHeight="false" outlineLevel="0" collapsed="false">
      <c r="A22" s="15" t="s">
        <v>125</v>
      </c>
      <c r="B22" s="25" t="n">
        <f aca="false">B9+B10+B14+B12</f>
        <v>7680</v>
      </c>
      <c r="C22" s="25" t="n">
        <f aca="false">C9+C10+C14+C12</f>
        <v>6410</v>
      </c>
      <c r="D22" s="25" t="n">
        <f aca="false">D9+D10+D14+D12</f>
        <v>8390</v>
      </c>
      <c r="E22" s="25" t="n">
        <f aca="false">E9+E10+E14+E12</f>
        <v>0</v>
      </c>
      <c r="F22" s="25" t="n">
        <f aca="false">F9+F10+F14+F12</f>
        <v>0</v>
      </c>
      <c r="G22" s="25" t="n">
        <f aca="false">G9+G10+G14+G12</f>
        <v>0</v>
      </c>
      <c r="H22" s="25" t="n">
        <f aca="false">H9+H10+H14+H12</f>
        <v>0</v>
      </c>
      <c r="I22" s="25" t="n">
        <f aca="false">I9+I10+I14+I12</f>
        <v>0</v>
      </c>
      <c r="J22" s="25" t="n">
        <f aca="false">J9+J10+J14+J12</f>
        <v>0</v>
      </c>
      <c r="K22" s="25" t="n">
        <f aca="false">K9+K10+K14+K12</f>
        <v>0</v>
      </c>
      <c r="L22" s="25" t="n">
        <f aca="false">L9+L10+L14+L12</f>
        <v>0</v>
      </c>
      <c r="M22" s="25" t="n">
        <f aca="false">M9+M10+M14+M12</f>
        <v>0</v>
      </c>
      <c r="N22" s="23" t="n">
        <f aca="false">SUM(B22:M22)</f>
        <v>22480</v>
      </c>
      <c r="O22" s="23" t="n">
        <f aca="false">IFERROR(AVERAGEIF(B22:M22,"&lt;&gt;0"),0)</f>
        <v>7493.33333333333</v>
      </c>
    </row>
    <row r="23" customFormat="false" ht="15" hidden="false" customHeight="false" outlineLevel="0" collapsed="false">
      <c r="A23" s="24" t="s">
        <v>126</v>
      </c>
      <c r="B23" s="26" t="n">
        <f aca="false">N(Jan!C60)</f>
        <v>0.185</v>
      </c>
      <c r="C23" s="26" t="n">
        <f aca="false">N(Fev!C60)</f>
        <v>0.185</v>
      </c>
      <c r="D23" s="26" t="n">
        <f aca="false">N(Mar!C60)</f>
        <v>0.185</v>
      </c>
      <c r="E23" s="26" t="n">
        <f aca="false">N(Abr!C60)</f>
        <v>0</v>
      </c>
      <c r="F23" s="26" t="n">
        <f aca="false">N(Mai!C60)</f>
        <v>0</v>
      </c>
      <c r="G23" s="26" t="n">
        <f aca="false">N(Jun!C60)</f>
        <v>0</v>
      </c>
      <c r="H23" s="26" t="n">
        <f aca="false">N(Jul!C60)</f>
        <v>0</v>
      </c>
      <c r="I23" s="26" t="n">
        <f aca="false">N(Ago!C60)</f>
        <v>0</v>
      </c>
      <c r="J23" s="26" t="n">
        <f aca="false">N(Set!C60)</f>
        <v>0</v>
      </c>
      <c r="K23" s="26" t="n">
        <f aca="false">N(Out!C60)</f>
        <v>0</v>
      </c>
      <c r="L23" s="26" t="n">
        <f aca="false">N(Nov!C60)</f>
        <v>0</v>
      </c>
      <c r="M23" s="26" t="n">
        <f aca="false">N(Dez!C60)</f>
        <v>0</v>
      </c>
      <c r="N23" s="27" t="n">
        <f aca="false">IFERROR((N16-(N(Jan!C48)+N(Fev!C48)+N(Mar!C48)+N(Abr!C48)+N(Mai!C48)+N(Jun!C48)+N(Jul!C48)+N(Ago!C48)+N(Set!C48)+N(Out!C48)+N(Nov!C48)+N(Dez!C48)))/N8,0)</f>
        <v>0.185</v>
      </c>
    </row>
    <row r="25" customFormat="false" ht="15" hidden="false" customHeight="false" outlineLevel="0" collapsed="false">
      <c r="A25" s="3" t="s">
        <v>127</v>
      </c>
    </row>
    <row r="26" customFormat="false" ht="15" hidden="false" customHeight="false" outlineLevel="0" collapsed="false">
      <c r="A26" s="15" t="str">
        <f aca="false">"Parte de "&amp;Início!$C$6</f>
        <v>Parte de Paula</v>
      </c>
      <c r="B26" s="27" t="n">
        <f aca="false">IFERROR(O5/(O5+O6),0)</f>
        <v>0.5625</v>
      </c>
    </row>
    <row r="27" customFormat="false" ht="15" hidden="false" customHeight="false" outlineLevel="0" collapsed="false">
      <c r="A27" s="15" t="str">
        <f aca="false">"Parte de "&amp;Início!$C$7</f>
        <v>Parte de Marcos</v>
      </c>
      <c r="B27" s="27" t="n">
        <f aca="false">IFERROR(O6/(O5+O6),0)</f>
        <v>0.4375</v>
      </c>
    </row>
    <row r="28" customFormat="false" ht="15" hidden="false" customHeight="false" outlineLevel="0" collapsed="false">
      <c r="A28" s="2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A1:E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tr">
        <f aca="false">"Orçamento de janeiro de "&amp;Início!$C$5</f>
        <v>Orçamento de janeiro de 2026</v>
      </c>
    </row>
    <row r="2" customFormat="false" ht="15" hidden="false" customHeight="false" outlineLevel="0" collapsed="false">
      <c r="A2" s="2" t="s">
        <v>129</v>
      </c>
    </row>
    <row r="3" customFormat="false" ht="15" hidden="false" customHeight="false" outlineLevel="0" collapsed="false">
      <c r="A3" s="22" t="s">
        <v>130</v>
      </c>
      <c r="B3" s="22" t="s">
        <v>131</v>
      </c>
      <c r="C3" s="22" t="s">
        <v>132</v>
      </c>
      <c r="D3" s="22" t="s">
        <v>133</v>
      </c>
      <c r="E3" s="22" t="s">
        <v>134</v>
      </c>
    </row>
    <row r="4" customFormat="false" ht="15" hidden="false" customHeight="false" outlineLevel="0" collapsed="false">
      <c r="A4" s="13" t="s">
        <v>135</v>
      </c>
      <c r="B4" s="14"/>
      <c r="C4" s="14"/>
      <c r="D4" s="14"/>
      <c r="E4" s="14"/>
    </row>
    <row r="5" customFormat="false" ht="15" hidden="false" customHeight="false" outlineLevel="0" collapsed="false">
      <c r="A5" s="15" t="str">
        <f aca="false">"Renda líquida de "&amp;Início!$C$6</f>
        <v>Renda líquida de Paula</v>
      </c>
      <c r="B5" s="28" t="n">
        <v>4500</v>
      </c>
      <c r="C5" s="28" t="n">
        <v>4500</v>
      </c>
      <c r="D5" s="25" t="n">
        <f aca="false">IF(AND(B5="",C5=""),"",N(C5)-N(B5))</f>
        <v>0</v>
      </c>
      <c r="E5" s="5"/>
    </row>
    <row r="6" customFormat="false" ht="15" hidden="false" customHeight="false" outlineLevel="0" collapsed="false">
      <c r="A6" s="15" t="str">
        <f aca="false">"Renda líquida de "&amp;Início!$C$7</f>
        <v>Renda líquida de Marcos</v>
      </c>
      <c r="B6" s="28" t="n">
        <v>3500</v>
      </c>
      <c r="C6" s="28" t="n">
        <v>3500</v>
      </c>
      <c r="D6" s="25" t="n">
        <f aca="false">IF(AND(B6="",C6=""),"",N(C6)-N(B6))</f>
        <v>0</v>
      </c>
      <c r="E6" s="5"/>
    </row>
    <row r="7" customFormat="false" ht="15" hidden="false" customHeight="false" outlineLevel="0" collapsed="false">
      <c r="A7" s="15" t="s">
        <v>136</v>
      </c>
      <c r="B7" s="28"/>
      <c r="C7" s="28"/>
      <c r="D7" s="25" t="str">
        <f aca="false">IF(AND(B7="",C7=""),"",N(C7)-N(B7))</f>
        <v/>
      </c>
      <c r="E7" s="5"/>
    </row>
    <row r="8" customFormat="false" ht="15" hidden="false" customHeight="false" outlineLevel="0" collapsed="false">
      <c r="A8" s="19" t="s">
        <v>110</v>
      </c>
      <c r="B8" s="20" t="n">
        <f aca="false">SUM(B5:B7)</f>
        <v>8000</v>
      </c>
      <c r="C8" s="20" t="n">
        <f aca="false">SUM(C5:C7)</f>
        <v>8000</v>
      </c>
      <c r="D8" s="20" t="n">
        <f aca="false">N(C8)-N(B8)</f>
        <v>0</v>
      </c>
      <c r="E8" s="29"/>
    </row>
    <row r="9" customFormat="false" ht="15" hidden="false" customHeight="false" outlineLevel="0" collapsed="false">
      <c r="A9" s="15" t="s">
        <v>137</v>
      </c>
      <c r="B9" s="28"/>
      <c r="C9" s="28"/>
      <c r="D9" s="25" t="str">
        <f aca="false">IF(AND(B9="",C9=""),"",N(C9)-N(B9))</f>
        <v/>
      </c>
      <c r="E9" s="5"/>
    </row>
    <row r="10" customFormat="false" ht="15" hidden="false" customHeight="false" outlineLevel="0" collapsed="false">
      <c r="A10" s="19" t="s">
        <v>111</v>
      </c>
      <c r="B10" s="20" t="n">
        <f aca="false">B8+N(B9)</f>
        <v>8000</v>
      </c>
      <c r="C10" s="20" t="n">
        <f aca="false">C8+N(C9)</f>
        <v>8000</v>
      </c>
      <c r="D10" s="20" t="n">
        <f aca="false">N(C10)-N(B10)</f>
        <v>0</v>
      </c>
      <c r="E10" s="29"/>
    </row>
    <row r="12" customFormat="false" ht="15" hidden="false" customHeight="false" outlineLevel="0" collapsed="false">
      <c r="A12" s="13" t="s">
        <v>138</v>
      </c>
      <c r="B12" s="14"/>
      <c r="C12" s="14"/>
      <c r="D12" s="14"/>
      <c r="E12" s="14"/>
    </row>
    <row r="13" customFormat="false" ht="15" hidden="false" customHeight="false" outlineLevel="0" collapsed="false">
      <c r="A13" s="15" t="str">
        <f aca="false">Categorias!$C$6</f>
        <v>Moradia (aluguel ou prestação, condomínio)</v>
      </c>
      <c r="B13" s="28" t="n">
        <v>2000</v>
      </c>
      <c r="C13" s="28" t="n">
        <v>2000</v>
      </c>
      <c r="D13" s="25" t="n">
        <f aca="false">IF(AND(B13="",C13=""),"",N(C13)-N(B13))</f>
        <v>0</v>
      </c>
      <c r="E13" s="5"/>
    </row>
    <row r="14" customFormat="false" ht="15" hidden="false" customHeight="false" outlineLevel="0" collapsed="false">
      <c r="A14" s="15" t="str">
        <f aca="false">Categorias!$C$7</f>
        <v>Contas da casa (luz, água, gás, internet, celular)</v>
      </c>
      <c r="B14" s="28" t="n">
        <v>450</v>
      </c>
      <c r="C14" s="28" t="n">
        <v>450</v>
      </c>
      <c r="D14" s="25" t="n">
        <f aca="false">IF(AND(B14="",C14=""),"",N(C14)-N(B14))</f>
        <v>0</v>
      </c>
      <c r="E14" s="5"/>
    </row>
    <row r="15" customFormat="false" ht="15" hidden="false" customHeight="false" outlineLevel="0" collapsed="false">
      <c r="A15" s="15" t="str">
        <f aca="false">Categorias!$C$8</f>
        <v>Alimentação (supermercado e feira)</v>
      </c>
      <c r="B15" s="28" t="n">
        <v>1150</v>
      </c>
      <c r="C15" s="28" t="n">
        <v>1120</v>
      </c>
      <c r="D15" s="25" t="n">
        <f aca="false">IF(AND(B15="",C15=""),"",N(C15)-N(B15))</f>
        <v>-30</v>
      </c>
      <c r="E15" s="5"/>
    </row>
    <row r="16" customFormat="false" ht="15" hidden="false" customHeight="false" outlineLevel="0" collapsed="false">
      <c r="A16" s="15" t="str">
        <f aca="false">Categorias!$C$9</f>
        <v>Transporte (combustível, transporte público, aplicativo)</v>
      </c>
      <c r="B16" s="28" t="n">
        <v>350</v>
      </c>
      <c r="C16" s="28" t="n">
        <v>350</v>
      </c>
      <c r="D16" s="25" t="n">
        <f aca="false">IF(AND(B16="",C16=""),"",N(C16)-N(B16))</f>
        <v>0</v>
      </c>
      <c r="E16" s="5"/>
    </row>
    <row r="17" customFormat="false" ht="15" hidden="false" customHeight="false" outlineLevel="0" collapsed="false">
      <c r="A17" s="15" t="str">
        <f aca="false">Categorias!$C$10</f>
        <v>Saúde (plano, farmácia, consultas)</v>
      </c>
      <c r="B17" s="28" t="n">
        <v>250</v>
      </c>
      <c r="C17" s="28" t="n">
        <v>250</v>
      </c>
      <c r="D17" s="25" t="n">
        <f aca="false">IF(AND(B17="",C17=""),"",N(C17)-N(B17))</f>
        <v>0</v>
      </c>
      <c r="E17" s="5"/>
    </row>
    <row r="18" customFormat="false" ht="15" hidden="false" customHeight="false" outlineLevel="0" collapsed="false">
      <c r="A18" s="15" t="str">
        <f aca="false">Categorias!$C$11</f>
        <v>Outros essenciais</v>
      </c>
      <c r="B18" s="28" t="n">
        <v>0</v>
      </c>
      <c r="C18" s="28"/>
      <c r="D18" s="25" t="n">
        <f aca="false">IF(AND(B18="",C18=""),"",N(C18)-N(B18))</f>
        <v>0</v>
      </c>
      <c r="E18" s="5"/>
    </row>
    <row r="19" customFormat="false" ht="15" hidden="false" customHeight="false" outlineLevel="0" collapsed="false">
      <c r="A19" s="19" t="s">
        <v>139</v>
      </c>
      <c r="B19" s="20" t="n">
        <f aca="false">SUM(B13:B18)</f>
        <v>4200</v>
      </c>
      <c r="C19" s="20" t="n">
        <f aca="false">SUM(C13:C18)</f>
        <v>4170</v>
      </c>
      <c r="D19" s="20" t="n">
        <f aca="false">N(C19)-N(B19)</f>
        <v>-30</v>
      </c>
      <c r="E19" s="29"/>
    </row>
    <row r="21" customFormat="false" ht="15" hidden="false" customHeight="false" outlineLevel="0" collapsed="false">
      <c r="A21" s="13" t="s">
        <v>140</v>
      </c>
      <c r="B21" s="14"/>
      <c r="C21" s="14"/>
      <c r="D21" s="14"/>
      <c r="E21" s="14"/>
    </row>
    <row r="22" customFormat="false" ht="15" hidden="false" customHeight="false" outlineLevel="0" collapsed="false">
      <c r="A22" s="15" t="str">
        <f aca="false">Categorias!$C$12</f>
        <v>Financiamento ou empréstimo</v>
      </c>
      <c r="B22" s="28" t="n">
        <v>0</v>
      </c>
      <c r="C22" s="28"/>
      <c r="D22" s="25" t="n">
        <f aca="false">IF(AND(B22="",C22=""),"",N(C22)-N(B22))</f>
        <v>0</v>
      </c>
      <c r="E22" s="5"/>
    </row>
    <row r="23" customFormat="false" ht="15" hidden="false" customHeight="false" outlineLevel="0" collapsed="false">
      <c r="A23" s="15" t="str">
        <f aca="false">Categorias!$C$13</f>
        <v>Parcela do carro</v>
      </c>
      <c r="B23" s="28" t="n">
        <v>900</v>
      </c>
      <c r="C23" s="28" t="n">
        <v>900</v>
      </c>
      <c r="D23" s="25" t="n">
        <f aca="false">IF(AND(B23="",C23=""),"",N(C23)-N(B23))</f>
        <v>0</v>
      </c>
      <c r="E23" s="5"/>
    </row>
    <row r="24" customFormat="false" ht="15" hidden="false" customHeight="false" outlineLevel="0" collapsed="false">
      <c r="A24" s="15" t="str">
        <f aca="false">Categorias!$C$14</f>
        <v>Escola, faculdade e cursos</v>
      </c>
      <c r="B24" s="28" t="n">
        <v>400</v>
      </c>
      <c r="C24" s="28" t="n">
        <v>400</v>
      </c>
      <c r="D24" s="25" t="n">
        <f aca="false">IF(AND(B24="",C24=""),"",N(C24)-N(B24))</f>
        <v>0</v>
      </c>
      <c r="E24" s="5"/>
    </row>
    <row r="25" customFormat="false" ht="15" hidden="false" customHeight="false" outlineLevel="0" collapsed="false">
      <c r="A25" s="15" t="str">
        <f aca="false">Categorias!$C$15</f>
        <v>Seguros mensais</v>
      </c>
      <c r="B25" s="28" t="n">
        <v>0</v>
      </c>
      <c r="C25" s="28"/>
      <c r="D25" s="25" t="n">
        <f aca="false">IF(AND(B25="",C25=""),"",N(C25)-N(B25))</f>
        <v>0</v>
      </c>
      <c r="E25" s="5"/>
    </row>
    <row r="26" customFormat="false" ht="15" hidden="false" customHeight="false" outlineLevel="0" collapsed="false">
      <c r="A26" s="15" t="str">
        <f aca="false">Categorias!$C$16</f>
        <v>Outras parcelas e mensalidades</v>
      </c>
      <c r="B26" s="28" t="n">
        <v>0</v>
      </c>
      <c r="C26" s="28"/>
      <c r="D26" s="25" t="n">
        <f aca="false">IF(AND(B26="",C26=""),"",N(C26)-N(B26))</f>
        <v>0</v>
      </c>
      <c r="E26" s="5"/>
    </row>
    <row r="27" customFormat="false" ht="15" hidden="false" customHeight="false" outlineLevel="0" collapsed="false">
      <c r="A27" s="19" t="s">
        <v>141</v>
      </c>
      <c r="B27" s="20" t="n">
        <f aca="false">SUM(B22:B26)</f>
        <v>1300</v>
      </c>
      <c r="C27" s="20" t="n">
        <f aca="false">SUM(C22:C26)</f>
        <v>1300</v>
      </c>
      <c r="D27" s="20" t="n">
        <f aca="false">N(C27)-N(B27)</f>
        <v>0</v>
      </c>
      <c r="E27" s="29"/>
    </row>
    <row r="29" customFormat="false" ht="15" hidden="false" customHeight="false" outlineLevel="0" collapsed="false">
      <c r="A29" s="13" t="s">
        <v>142</v>
      </c>
      <c r="B29" s="14"/>
      <c r="C29" s="14"/>
      <c r="D29" s="14"/>
      <c r="E29" s="14"/>
    </row>
    <row r="30" customFormat="false" ht="15" hidden="false" customHeight="false" outlineLevel="0" collapsed="false">
      <c r="A30" s="15" t="s">
        <v>143</v>
      </c>
      <c r="B30" s="30" t="n">
        <f aca="false">Irregulares!$C$28</f>
        <v>500</v>
      </c>
      <c r="C30" s="30" t="n">
        <f aca="false">IF(N(C8)=0,"",Irregulares!$C$28)</f>
        <v>500</v>
      </c>
      <c r="D30" s="25" t="n">
        <f aca="false">N(C30)-N(B30)</f>
        <v>0</v>
      </c>
    </row>
    <row r="31" customFormat="false" ht="15" hidden="false" customHeight="false" outlineLevel="0" collapsed="false">
      <c r="A31" s="15" t="s">
        <v>144</v>
      </c>
      <c r="B31" s="30" t="n">
        <f aca="false">SUMIF(Irregulares!$D$6:$D$25,1,Irregulares!$C$6:$C$25)</f>
        <v>1800</v>
      </c>
      <c r="C31" s="28" t="n">
        <v>1800</v>
      </c>
      <c r="D31" s="25" t="n">
        <f aca="false">IF(AND(B31="",C31=""),"",N(C31)-N(B31))</f>
        <v>0</v>
      </c>
      <c r="E31" s="2" t="s">
        <v>145</v>
      </c>
    </row>
    <row r="33" customFormat="false" ht="15" hidden="false" customHeight="false" outlineLevel="0" collapsed="false">
      <c r="A33" s="31" t="s">
        <v>146</v>
      </c>
      <c r="B33" s="32" t="n">
        <f aca="false">B8-B19-B27-N(B30)</f>
        <v>2000</v>
      </c>
      <c r="C33" s="32" t="n">
        <f aca="false">IF(N(C8)=0,"",C8-C19-C27-N(C30))</f>
        <v>2030</v>
      </c>
      <c r="D33" s="32" t="n">
        <f aca="false">N(C33)-N(B33)</f>
        <v>30</v>
      </c>
      <c r="E33" s="33"/>
    </row>
    <row r="35" customFormat="false" ht="15" hidden="false" customHeight="false" outlineLevel="0" collapsed="false">
      <c r="A35" s="13" t="s">
        <v>147</v>
      </c>
      <c r="B35" s="14"/>
      <c r="C35" s="14"/>
      <c r="D35" s="14"/>
      <c r="E35" s="14"/>
    </row>
    <row r="36" customFormat="false" ht="15" hidden="false" customHeight="false" outlineLevel="0" collapsed="false">
      <c r="A36" s="15" t="str">
        <f aca="false">Categorias!$C$17</f>
        <v>Restaurantes e delivery</v>
      </c>
      <c r="B36" s="28" t="n">
        <v>150</v>
      </c>
      <c r="C36" s="28" t="n">
        <v>160</v>
      </c>
      <c r="D36" s="25" t="n">
        <f aca="false">IF(AND(B36="",C36=""),"",N(C36)-N(B36))</f>
        <v>10</v>
      </c>
      <c r="E36" s="5"/>
    </row>
    <row r="37" customFormat="false" ht="15" hidden="false" customHeight="false" outlineLevel="0" collapsed="false">
      <c r="A37" s="15" t="str">
        <f aca="false">Categorias!$C$18</f>
        <v>Lazer e passeios</v>
      </c>
      <c r="B37" s="28" t="n">
        <v>120</v>
      </c>
      <c r="C37" s="28" t="n">
        <v>120</v>
      </c>
      <c r="D37" s="25" t="n">
        <f aca="false">IF(AND(B37="",C37=""),"",N(C37)-N(B37))</f>
        <v>0</v>
      </c>
      <c r="E37" s="5"/>
    </row>
    <row r="38" customFormat="false" ht="15" hidden="false" customHeight="false" outlineLevel="0" collapsed="false">
      <c r="A38" s="15" t="str">
        <f aca="false">Categorias!$C$19</f>
        <v>Compras (roupas, eletrônicos, casa)</v>
      </c>
      <c r="B38" s="28" t="n">
        <v>80</v>
      </c>
      <c r="C38" s="28" t="n">
        <v>80</v>
      </c>
      <c r="D38" s="25" t="n">
        <f aca="false">IF(AND(B38="",C38=""),"",N(C38)-N(B38))</f>
        <v>0</v>
      </c>
      <c r="E38" s="5"/>
    </row>
    <row r="39" customFormat="false" ht="15" hidden="false" customHeight="false" outlineLevel="0" collapsed="false">
      <c r="A39" s="15" t="str">
        <f aca="false">Categorias!$C$20</f>
        <v>Assinaturas e aplicativos</v>
      </c>
      <c r="B39" s="28" t="n">
        <v>50</v>
      </c>
      <c r="C39" s="28" t="n">
        <v>50</v>
      </c>
      <c r="D39" s="25" t="n">
        <f aca="false">IF(AND(B39="",C39=""),"",N(C39)-N(B39))</f>
        <v>0</v>
      </c>
      <c r="E39" s="5"/>
    </row>
    <row r="40" customFormat="false" ht="15" hidden="false" customHeight="false" outlineLevel="0" collapsed="false">
      <c r="A40" s="15" t="str">
        <f aca="false">Categorias!$C$21</f>
        <v>Cuidados pessoais</v>
      </c>
      <c r="B40" s="28" t="n">
        <v>0</v>
      </c>
      <c r="C40" s="28"/>
      <c r="D40" s="25" t="n">
        <f aca="false">IF(AND(B40="",C40=""),"",N(C40)-N(B40))</f>
        <v>0</v>
      </c>
      <c r="E40" s="5"/>
    </row>
    <row r="41" customFormat="false" ht="15" hidden="false" customHeight="false" outlineLevel="0" collapsed="false">
      <c r="A41" s="15" t="str">
        <f aca="false">Categorias!$C$22</f>
        <v>Presentes e outros</v>
      </c>
      <c r="B41" s="28" t="n">
        <v>0</v>
      </c>
      <c r="C41" s="28"/>
      <c r="D41" s="25" t="n">
        <f aca="false">IF(AND(B41="",C41=""),"",N(C41)-N(B41))</f>
        <v>0</v>
      </c>
      <c r="E41" s="5"/>
    </row>
    <row r="42" customFormat="false" ht="15" hidden="false" customHeight="false" outlineLevel="0" collapsed="false">
      <c r="A42" s="19" t="s">
        <v>148</v>
      </c>
      <c r="B42" s="20" t="n">
        <f aca="false">SUM(B36:B41)</f>
        <v>400</v>
      </c>
      <c r="C42" s="20" t="n">
        <f aca="false">SUM(C36:C41)</f>
        <v>410</v>
      </c>
      <c r="D42" s="20" t="n">
        <f aca="false">N(C42)-N(B42)</f>
        <v>10</v>
      </c>
      <c r="E42" s="29"/>
    </row>
    <row r="43" customFormat="false" ht="15" hidden="false" customHeight="false" outlineLevel="0" collapsed="false">
      <c r="A43" s="31" t="s">
        <v>149</v>
      </c>
      <c r="B43" s="32" t="n">
        <f aca="false">N(B33)-B42</f>
        <v>1600</v>
      </c>
      <c r="C43" s="32" t="n">
        <f aca="false">IF(N(C8)=0,"",N(C33)-C42)</f>
        <v>1620</v>
      </c>
      <c r="D43" s="32" t="n">
        <f aca="false">N(C43)-N(B43)</f>
        <v>20</v>
      </c>
      <c r="E43" s="33"/>
    </row>
    <row r="45" customFormat="false" ht="15" hidden="false" customHeight="false" outlineLevel="0" collapsed="false">
      <c r="A45" s="13" t="s">
        <v>150</v>
      </c>
      <c r="B45" s="14"/>
      <c r="C45" s="14"/>
      <c r="D45" s="14"/>
      <c r="E45" s="14"/>
    </row>
    <row r="46" customFormat="false" ht="15" hidden="false" customHeight="false" outlineLevel="0" collapsed="false">
      <c r="A46" s="15" t="s">
        <v>151</v>
      </c>
      <c r="B46" s="28" t="n">
        <v>0</v>
      </c>
      <c r="C46" s="28"/>
      <c r="D46" s="25" t="n">
        <f aca="false">IF(AND(B46="",C46=""),"",N(C46)-N(B46))</f>
        <v>0</v>
      </c>
      <c r="E46" s="5"/>
    </row>
    <row r="47" customFormat="false" ht="15" hidden="false" customHeight="false" outlineLevel="0" collapsed="false">
      <c r="A47" s="15" t="s">
        <v>34</v>
      </c>
      <c r="B47" s="28" t="n">
        <v>1000</v>
      </c>
      <c r="C47" s="28" t="n">
        <v>1000</v>
      </c>
      <c r="D47" s="25" t="n">
        <f aca="false">IF(AND(B47="",C47=""),"",N(C47)-N(B47))</f>
        <v>0</v>
      </c>
      <c r="E47" s="5"/>
    </row>
    <row r="48" customFormat="false" ht="15" hidden="false" customHeight="false" outlineLevel="0" collapsed="false">
      <c r="A48" s="15" t="s">
        <v>152</v>
      </c>
      <c r="B48" s="28" t="n">
        <v>120</v>
      </c>
      <c r="C48" s="28" t="n">
        <v>120</v>
      </c>
      <c r="D48" s="25" t="n">
        <f aca="false">IF(AND(B48="",C48=""),"",N(C48)-N(B48))</f>
        <v>0</v>
      </c>
      <c r="E48" s="5"/>
    </row>
    <row r="49" customFormat="false" ht="15" hidden="false" customHeight="false" outlineLevel="0" collapsed="false">
      <c r="A49" s="15" t="str">
        <f aca="false">IF(Metas!$B$6="","Meta 1 (aba Metas)","Meta 1: "&amp;Metas!$B$6)</f>
        <v>Meta 1: Entrada do apartamento</v>
      </c>
      <c r="B49" s="28" t="n">
        <v>480</v>
      </c>
      <c r="C49" s="28" t="n">
        <v>480</v>
      </c>
      <c r="D49" s="25" t="n">
        <f aca="false">IF(AND(B49="",C49=""),"",N(C49)-N(B49))</f>
        <v>0</v>
      </c>
      <c r="E49" s="5"/>
    </row>
    <row r="50" customFormat="false" ht="15" hidden="false" customHeight="false" outlineLevel="0" collapsed="false">
      <c r="A50" s="15" t="str">
        <f aca="false">IF(Metas!$B$7="","Meta 2 (aba Metas)","Meta 2: "&amp;Metas!$B$7)</f>
        <v>Meta 2: Faculdade do filho</v>
      </c>
      <c r="B50" s="28" t="n">
        <v>0</v>
      </c>
      <c r="C50" s="28"/>
      <c r="D50" s="25" t="n">
        <f aca="false">IF(AND(B50="",C50=""),"",N(C50)-N(B50))</f>
        <v>0</v>
      </c>
      <c r="E50" s="5"/>
    </row>
    <row r="51" customFormat="false" ht="15" hidden="false" customHeight="false" outlineLevel="0" collapsed="false">
      <c r="A51" s="15" t="str">
        <f aca="false">IF(Metas!$B$8="","Meta 3 (aba Metas)","Meta 3: "&amp;Metas!$B$8)</f>
        <v>Meta 3 (aba Metas)</v>
      </c>
      <c r="B51" s="28" t="n">
        <v>0</v>
      </c>
      <c r="C51" s="28"/>
      <c r="D51" s="25" t="n">
        <f aca="false">IF(AND(B51="",C51=""),"",N(C51)-N(B51))</f>
        <v>0</v>
      </c>
      <c r="E51" s="5"/>
    </row>
    <row r="52" customFormat="false" ht="15" hidden="false" customHeight="false" outlineLevel="0" collapsed="false">
      <c r="A52" s="15" t="str">
        <f aca="false">IF(Metas!$B$9="","Meta 4 (aba Metas)","Meta 4: "&amp;Metas!$B$9)</f>
        <v>Meta 4 (aba Metas)</v>
      </c>
      <c r="B52" s="28" t="n">
        <v>0</v>
      </c>
      <c r="C52" s="28"/>
      <c r="D52" s="25" t="n">
        <f aca="false">IF(AND(B52="",C52=""),"",N(C52)-N(B52))</f>
        <v>0</v>
      </c>
      <c r="E52" s="5"/>
    </row>
    <row r="53" customFormat="false" ht="15" hidden="false" customHeight="false" outlineLevel="0" collapsed="false">
      <c r="A53" s="15" t="str">
        <f aca="false">IF(Metas!$B$10="","Meta 5 (aba Metas)","Meta 5: "&amp;Metas!$B$10)</f>
        <v>Meta 5 (aba Metas)</v>
      </c>
      <c r="B53" s="28" t="n">
        <v>0</v>
      </c>
      <c r="C53" s="28"/>
      <c r="D53" s="25" t="n">
        <f aca="false">IF(AND(B53="",C53=""),"",N(C53)-N(B53))</f>
        <v>0</v>
      </c>
      <c r="E53" s="5"/>
    </row>
    <row r="54" customFormat="false" ht="15" hidden="false" customHeight="false" outlineLevel="0" collapsed="false">
      <c r="A54" s="15" t="s">
        <v>153</v>
      </c>
      <c r="B54" s="28" t="n">
        <v>0</v>
      </c>
      <c r="C54" s="28"/>
      <c r="D54" s="25" t="n">
        <f aca="false">IF(AND(B54="",C54=""),"",N(C54)-N(B54))</f>
        <v>0</v>
      </c>
      <c r="E54" s="5"/>
    </row>
    <row r="55" customFormat="false" ht="15" hidden="false" customHeight="false" outlineLevel="0" collapsed="false">
      <c r="A55" s="19" t="s">
        <v>119</v>
      </c>
      <c r="B55" s="20" t="n">
        <f aca="false">SUM(B46:B54)</f>
        <v>1600</v>
      </c>
      <c r="C55" s="20" t="n">
        <f aca="false">SUM(C46:C54)</f>
        <v>1600</v>
      </c>
      <c r="D55" s="20" t="n">
        <f aca="false">N(C55)-N(B55)</f>
        <v>0</v>
      </c>
      <c r="E55" s="29"/>
    </row>
    <row r="57" customFormat="false" ht="15" hidden="false" customHeight="false" outlineLevel="0" collapsed="false">
      <c r="A57" s="31" t="s">
        <v>154</v>
      </c>
      <c r="B57" s="32" t="n">
        <f aca="false">N(B43)-B55+N(B9)</f>
        <v>0</v>
      </c>
      <c r="C57" s="32" t="n">
        <f aca="false">IF(N(C8)=0,"",N(C43)-C55+N(C9))</f>
        <v>20</v>
      </c>
      <c r="D57" s="32" t="n">
        <f aca="false">N(C57)-N(B57)</f>
        <v>20</v>
      </c>
      <c r="E57" s="34" t="s">
        <v>155</v>
      </c>
    </row>
    <row r="59" customFormat="false" ht="15" hidden="false" customHeight="false" outlineLevel="0" collapsed="false">
      <c r="A59" s="13" t="s">
        <v>156</v>
      </c>
      <c r="B59" s="14"/>
      <c r="C59" s="14"/>
      <c r="D59" s="14"/>
      <c r="E59" s="14"/>
    </row>
    <row r="60" customFormat="false" ht="15" hidden="false" customHeight="false" outlineLevel="0" collapsed="false">
      <c r="A60" s="15" t="s">
        <v>126</v>
      </c>
      <c r="C60" s="27" t="n">
        <f aca="false">IFERROR((C55-N(C48))/C10,0)</f>
        <v>0.185</v>
      </c>
    </row>
    <row r="61" customFormat="false" ht="15" hidden="false" customHeight="false" outlineLevel="0" collapsed="false">
      <c r="A61" s="15" t="s">
        <v>157</v>
      </c>
      <c r="C61" s="27" t="n">
        <f aca="false">IFERROR((C19+C27+N(C30))/C8,0)</f>
        <v>0.74625</v>
      </c>
    </row>
    <row r="62" customFormat="false" ht="15" hidden="false" customHeight="false" outlineLevel="0" collapsed="false">
      <c r="A62" s="15" t="s">
        <v>158</v>
      </c>
      <c r="C62" s="27" t="n">
        <f aca="false">IFERROR(C42/C8,0)</f>
        <v>0.05125</v>
      </c>
    </row>
    <row r="63" customFormat="false" ht="15" hidden="false" customHeight="false" outlineLevel="0" collapsed="false">
      <c r="A63" s="15" t="s">
        <v>159</v>
      </c>
      <c r="C63" s="27" t="n">
        <f aca="false">IFERROR(C55/C8,0)</f>
        <v>0.2</v>
      </c>
    </row>
    <row r="64" customFormat="false" ht="15" hidden="false" customHeight="false" outlineLevel="0" collapsed="false">
      <c r="A64" s="2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A1:E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tr">
        <f aca="false">"Orçamento de fevereiro de "&amp;Início!$C$5</f>
        <v>Orçamento de fevereiro de 2026</v>
      </c>
    </row>
    <row r="2" customFormat="false" ht="15" hidden="false" customHeight="false" outlineLevel="0" collapsed="false">
      <c r="A2" s="2" t="s">
        <v>161</v>
      </c>
    </row>
    <row r="3" customFormat="false" ht="15" hidden="false" customHeight="false" outlineLevel="0" collapsed="false">
      <c r="A3" s="22" t="s">
        <v>130</v>
      </c>
      <c r="B3" s="22" t="s">
        <v>131</v>
      </c>
      <c r="C3" s="22" t="s">
        <v>132</v>
      </c>
      <c r="D3" s="22" t="s">
        <v>133</v>
      </c>
      <c r="E3" s="22" t="s">
        <v>134</v>
      </c>
    </row>
    <row r="4" customFormat="false" ht="15" hidden="false" customHeight="false" outlineLevel="0" collapsed="false">
      <c r="A4" s="13" t="s">
        <v>135</v>
      </c>
      <c r="B4" s="14"/>
      <c r="C4" s="14"/>
      <c r="D4" s="14"/>
      <c r="E4" s="14"/>
    </row>
    <row r="5" customFormat="false" ht="15" hidden="false" customHeight="false" outlineLevel="0" collapsed="false">
      <c r="A5" s="15" t="str">
        <f aca="false">"Renda líquida de "&amp;Início!$C$6</f>
        <v>Renda líquida de Paula</v>
      </c>
      <c r="B5" s="30" t="n">
        <f aca="false">Jan!B5</f>
        <v>4500</v>
      </c>
      <c r="C5" s="28" t="n">
        <v>4500</v>
      </c>
      <c r="D5" s="25" t="n">
        <f aca="false">IF(AND(B5="",C5=""),"",N(C5)-N(B5))</f>
        <v>0</v>
      </c>
      <c r="E5" s="5"/>
    </row>
    <row r="6" customFormat="false" ht="15" hidden="false" customHeight="false" outlineLevel="0" collapsed="false">
      <c r="A6" s="15" t="str">
        <f aca="false">"Renda líquida de "&amp;Início!$C$7</f>
        <v>Renda líquida de Marcos</v>
      </c>
      <c r="B6" s="30" t="n">
        <f aca="false">Jan!B6</f>
        <v>3500</v>
      </c>
      <c r="C6" s="28" t="n">
        <v>3500</v>
      </c>
      <c r="D6" s="25" t="n">
        <f aca="false">IF(AND(B6="",C6=""),"",N(C6)-N(B6))</f>
        <v>0</v>
      </c>
      <c r="E6" s="5"/>
    </row>
    <row r="7" customFormat="false" ht="15" hidden="false" customHeight="false" outlineLevel="0" collapsed="false">
      <c r="A7" s="15" t="s">
        <v>136</v>
      </c>
      <c r="B7" s="30" t="n">
        <f aca="false">Jan!B7</f>
        <v>0</v>
      </c>
      <c r="C7" s="28"/>
      <c r="D7" s="25" t="str">
        <f aca="false">IF(AND(B7="",C7=""),"",N(C7)-N(B7))</f>
        <v/>
      </c>
      <c r="E7" s="5"/>
    </row>
    <row r="8" customFormat="false" ht="15" hidden="false" customHeight="false" outlineLevel="0" collapsed="false">
      <c r="A8" s="19" t="s">
        <v>110</v>
      </c>
      <c r="B8" s="20" t="n">
        <f aca="false">SUM(B5:B7)</f>
        <v>8000</v>
      </c>
      <c r="C8" s="20" t="n">
        <f aca="false">SUM(C5:C7)</f>
        <v>8000</v>
      </c>
      <c r="D8" s="20" t="n">
        <f aca="false">N(C8)-N(B8)</f>
        <v>0</v>
      </c>
      <c r="E8" s="29"/>
    </row>
    <row r="9" customFormat="false" ht="15" hidden="false" customHeight="false" outlineLevel="0" collapsed="false">
      <c r="A9" s="15" t="s">
        <v>137</v>
      </c>
      <c r="B9" s="30" t="n">
        <f aca="false">Jan!B9</f>
        <v>0</v>
      </c>
      <c r="C9" s="28"/>
      <c r="D9" s="25" t="str">
        <f aca="false">IF(AND(B9="",C9=""),"",N(C9)-N(B9))</f>
        <v/>
      </c>
      <c r="E9" s="5"/>
    </row>
    <row r="10" customFormat="false" ht="15" hidden="false" customHeight="false" outlineLevel="0" collapsed="false">
      <c r="A10" s="19" t="s">
        <v>111</v>
      </c>
      <c r="B10" s="20" t="n">
        <f aca="false">B8+N(B9)</f>
        <v>8000</v>
      </c>
      <c r="C10" s="20" t="n">
        <f aca="false">C8+N(C9)</f>
        <v>8000</v>
      </c>
      <c r="D10" s="20" t="n">
        <f aca="false">N(C10)-N(B10)</f>
        <v>0</v>
      </c>
      <c r="E10" s="29"/>
    </row>
    <row r="12" customFormat="false" ht="15" hidden="false" customHeight="false" outlineLevel="0" collapsed="false">
      <c r="A12" s="13" t="s">
        <v>138</v>
      </c>
      <c r="B12" s="14"/>
      <c r="C12" s="14"/>
      <c r="D12" s="14"/>
      <c r="E12" s="14"/>
    </row>
    <row r="13" customFormat="false" ht="15" hidden="false" customHeight="false" outlineLevel="0" collapsed="false">
      <c r="A13" s="15" t="str">
        <f aca="false">Categorias!$C$6</f>
        <v>Moradia (aluguel ou prestação, condomínio)</v>
      </c>
      <c r="B13" s="30" t="n">
        <f aca="false">Jan!B13</f>
        <v>2000</v>
      </c>
      <c r="C13" s="28" t="n">
        <v>2000</v>
      </c>
      <c r="D13" s="25" t="n">
        <f aca="false">IF(AND(B13="",C13=""),"",N(C13)-N(B13))</f>
        <v>0</v>
      </c>
      <c r="E13" s="5"/>
    </row>
    <row r="14" customFormat="false" ht="15" hidden="false" customHeight="false" outlineLevel="0" collapsed="false">
      <c r="A14" s="15" t="str">
        <f aca="false">Categorias!$C$7</f>
        <v>Contas da casa (luz, água, gás, internet, celular)</v>
      </c>
      <c r="B14" s="30" t="n">
        <f aca="false">Jan!B14</f>
        <v>450</v>
      </c>
      <c r="C14" s="28" t="n">
        <v>450</v>
      </c>
      <c r="D14" s="25" t="n">
        <f aca="false">IF(AND(B14="",C14=""),"",N(C14)-N(B14))</f>
        <v>0</v>
      </c>
      <c r="E14" s="5"/>
    </row>
    <row r="15" customFormat="false" ht="15" hidden="false" customHeight="false" outlineLevel="0" collapsed="false">
      <c r="A15" s="15" t="str">
        <f aca="false">Categorias!$C$8</f>
        <v>Alimentação (supermercado e feira)</v>
      </c>
      <c r="B15" s="30" t="n">
        <f aca="false">Jan!B15</f>
        <v>1150</v>
      </c>
      <c r="C15" s="28" t="n">
        <v>1120</v>
      </c>
      <c r="D15" s="25" t="n">
        <f aca="false">IF(AND(B15="",C15=""),"",N(C15)-N(B15))</f>
        <v>-30</v>
      </c>
      <c r="E15" s="5"/>
    </row>
    <row r="16" customFormat="false" ht="15" hidden="false" customHeight="false" outlineLevel="0" collapsed="false">
      <c r="A16" s="15" t="str">
        <f aca="false">Categorias!$C$9</f>
        <v>Transporte (combustível, transporte público, aplicativo)</v>
      </c>
      <c r="B16" s="30" t="n">
        <f aca="false">Jan!B16</f>
        <v>350</v>
      </c>
      <c r="C16" s="28" t="n">
        <v>350</v>
      </c>
      <c r="D16" s="25" t="n">
        <f aca="false">IF(AND(B16="",C16=""),"",N(C16)-N(B16))</f>
        <v>0</v>
      </c>
      <c r="E16" s="5"/>
    </row>
    <row r="17" customFormat="false" ht="15" hidden="false" customHeight="false" outlineLevel="0" collapsed="false">
      <c r="A17" s="15" t="str">
        <f aca="false">Categorias!$C$10</f>
        <v>Saúde (plano, farmácia, consultas)</v>
      </c>
      <c r="B17" s="30" t="n">
        <f aca="false">Jan!B17</f>
        <v>250</v>
      </c>
      <c r="C17" s="28" t="n">
        <v>250</v>
      </c>
      <c r="D17" s="25" t="n">
        <f aca="false">IF(AND(B17="",C17=""),"",N(C17)-N(B17))</f>
        <v>0</v>
      </c>
      <c r="E17" s="5"/>
    </row>
    <row r="18" customFormat="false" ht="15" hidden="false" customHeight="false" outlineLevel="0" collapsed="false">
      <c r="A18" s="15" t="str">
        <f aca="false">Categorias!$C$11</f>
        <v>Outros essenciais</v>
      </c>
      <c r="B18" s="30" t="n">
        <f aca="false">Jan!B18</f>
        <v>0</v>
      </c>
      <c r="C18" s="28"/>
      <c r="D18" s="25" t="n">
        <f aca="false">IF(AND(B18="",C18=""),"",N(C18)-N(B18))</f>
        <v>0</v>
      </c>
      <c r="E18" s="5"/>
    </row>
    <row r="19" customFormat="false" ht="15" hidden="false" customHeight="false" outlineLevel="0" collapsed="false">
      <c r="A19" s="19" t="s">
        <v>139</v>
      </c>
      <c r="B19" s="20" t="n">
        <f aca="false">SUM(B13:B18)</f>
        <v>4200</v>
      </c>
      <c r="C19" s="20" t="n">
        <f aca="false">SUM(C13:C18)</f>
        <v>4170</v>
      </c>
      <c r="D19" s="20" t="n">
        <f aca="false">N(C19)-N(B19)</f>
        <v>-30</v>
      </c>
      <c r="E19" s="29"/>
    </row>
    <row r="21" customFormat="false" ht="15" hidden="false" customHeight="false" outlineLevel="0" collapsed="false">
      <c r="A21" s="13" t="s">
        <v>140</v>
      </c>
      <c r="B21" s="14"/>
      <c r="C21" s="14"/>
      <c r="D21" s="14"/>
      <c r="E21" s="14"/>
    </row>
    <row r="22" customFormat="false" ht="15" hidden="false" customHeight="false" outlineLevel="0" collapsed="false">
      <c r="A22" s="15" t="str">
        <f aca="false">Categorias!$C$12</f>
        <v>Financiamento ou empréstimo</v>
      </c>
      <c r="B22" s="30" t="n">
        <f aca="false">Jan!B22</f>
        <v>0</v>
      </c>
      <c r="C22" s="28"/>
      <c r="D22" s="25" t="n">
        <f aca="false">IF(AND(B22="",C22=""),"",N(C22)-N(B22))</f>
        <v>0</v>
      </c>
      <c r="E22" s="5"/>
    </row>
    <row r="23" customFormat="false" ht="15" hidden="false" customHeight="false" outlineLevel="0" collapsed="false">
      <c r="A23" s="15" t="str">
        <f aca="false">Categorias!$C$13</f>
        <v>Parcela do carro</v>
      </c>
      <c r="B23" s="30" t="n">
        <f aca="false">Jan!B23</f>
        <v>900</v>
      </c>
      <c r="C23" s="28" t="n">
        <v>900</v>
      </c>
      <c r="D23" s="25" t="n">
        <f aca="false">IF(AND(B23="",C23=""),"",N(C23)-N(B23))</f>
        <v>0</v>
      </c>
      <c r="E23" s="5"/>
    </row>
    <row r="24" customFormat="false" ht="15" hidden="false" customHeight="false" outlineLevel="0" collapsed="false">
      <c r="A24" s="15" t="str">
        <f aca="false">Categorias!$C$14</f>
        <v>Escola, faculdade e cursos</v>
      </c>
      <c r="B24" s="30" t="n">
        <f aca="false">Jan!B24</f>
        <v>400</v>
      </c>
      <c r="C24" s="28" t="n">
        <v>400</v>
      </c>
      <c r="D24" s="25" t="n">
        <f aca="false">IF(AND(B24="",C24=""),"",N(C24)-N(B24))</f>
        <v>0</v>
      </c>
      <c r="E24" s="5"/>
    </row>
    <row r="25" customFormat="false" ht="15" hidden="false" customHeight="false" outlineLevel="0" collapsed="false">
      <c r="A25" s="15" t="str">
        <f aca="false">Categorias!$C$15</f>
        <v>Seguros mensais</v>
      </c>
      <c r="B25" s="30" t="n">
        <f aca="false">Jan!B25</f>
        <v>0</v>
      </c>
      <c r="C25" s="28"/>
      <c r="D25" s="25" t="n">
        <f aca="false">IF(AND(B25="",C25=""),"",N(C25)-N(B25))</f>
        <v>0</v>
      </c>
      <c r="E25" s="5"/>
    </row>
    <row r="26" customFormat="false" ht="15" hidden="false" customHeight="false" outlineLevel="0" collapsed="false">
      <c r="A26" s="15" t="str">
        <f aca="false">Categorias!$C$16</f>
        <v>Outras parcelas e mensalidades</v>
      </c>
      <c r="B26" s="30" t="n">
        <f aca="false">Jan!B26</f>
        <v>0</v>
      </c>
      <c r="C26" s="28"/>
      <c r="D26" s="25" t="n">
        <f aca="false">IF(AND(B26="",C26=""),"",N(C26)-N(B26))</f>
        <v>0</v>
      </c>
      <c r="E26" s="5"/>
    </row>
    <row r="27" customFormat="false" ht="15" hidden="false" customHeight="false" outlineLevel="0" collapsed="false">
      <c r="A27" s="19" t="s">
        <v>141</v>
      </c>
      <c r="B27" s="20" t="n">
        <f aca="false">SUM(B22:B26)</f>
        <v>1300</v>
      </c>
      <c r="C27" s="20" t="n">
        <f aca="false">SUM(C22:C26)</f>
        <v>1300</v>
      </c>
      <c r="D27" s="20" t="n">
        <f aca="false">N(C27)-N(B27)</f>
        <v>0</v>
      </c>
      <c r="E27" s="29"/>
    </row>
    <row r="29" customFormat="false" ht="15" hidden="false" customHeight="false" outlineLevel="0" collapsed="false">
      <c r="A29" s="13" t="s">
        <v>142</v>
      </c>
      <c r="B29" s="14"/>
      <c r="C29" s="14"/>
      <c r="D29" s="14"/>
      <c r="E29" s="14"/>
    </row>
    <row r="30" customFormat="false" ht="15" hidden="false" customHeight="false" outlineLevel="0" collapsed="false">
      <c r="A30" s="15" t="s">
        <v>143</v>
      </c>
      <c r="B30" s="30" t="n">
        <f aca="false">Irregulares!$C$28</f>
        <v>500</v>
      </c>
      <c r="C30" s="30" t="n">
        <f aca="false">IF(N(C8)=0,"",Irregulares!$C$28)</f>
        <v>500</v>
      </c>
      <c r="D30" s="25" t="n">
        <f aca="false">N(C30)-N(B30)</f>
        <v>0</v>
      </c>
    </row>
    <row r="31" customFormat="false" ht="15" hidden="false" customHeight="false" outlineLevel="0" collapsed="false">
      <c r="A31" s="15" t="s">
        <v>144</v>
      </c>
      <c r="B31" s="30" t="n">
        <f aca="false">SUMIF(Irregulares!$D$6:$D$25,2,Irregulares!$C$6:$C$25)</f>
        <v>600</v>
      </c>
      <c r="C31" s="28" t="n">
        <v>600</v>
      </c>
      <c r="D31" s="25" t="n">
        <f aca="false">IF(AND(B31="",C31=""),"",N(C31)-N(B31))</f>
        <v>0</v>
      </c>
      <c r="E31" s="2" t="s">
        <v>145</v>
      </c>
    </row>
    <row r="33" customFormat="false" ht="15" hidden="false" customHeight="false" outlineLevel="0" collapsed="false">
      <c r="A33" s="31" t="s">
        <v>146</v>
      </c>
      <c r="B33" s="32" t="n">
        <f aca="false">B8-B19-B27-N(B30)</f>
        <v>2000</v>
      </c>
      <c r="C33" s="32" t="n">
        <f aca="false">IF(N(C8)=0,"",C8-C19-C27-N(C30))</f>
        <v>2030</v>
      </c>
      <c r="D33" s="32" t="n">
        <f aca="false">N(C33)-N(B33)</f>
        <v>30</v>
      </c>
      <c r="E33" s="33"/>
    </row>
    <row r="35" customFormat="false" ht="15" hidden="false" customHeight="false" outlineLevel="0" collapsed="false">
      <c r="A35" s="13" t="s">
        <v>147</v>
      </c>
      <c r="B35" s="14"/>
      <c r="C35" s="14"/>
      <c r="D35" s="14"/>
      <c r="E35" s="14"/>
    </row>
    <row r="36" customFormat="false" ht="15" hidden="false" customHeight="false" outlineLevel="0" collapsed="false">
      <c r="A36" s="15" t="str">
        <f aca="false">Categorias!$C$17</f>
        <v>Restaurantes e delivery</v>
      </c>
      <c r="B36" s="30" t="n">
        <f aca="false">Jan!B36</f>
        <v>150</v>
      </c>
      <c r="C36" s="28" t="n">
        <v>150</v>
      </c>
      <c r="D36" s="25" t="n">
        <f aca="false">IF(AND(B36="",C36=""),"",N(C36)-N(B36))</f>
        <v>0</v>
      </c>
      <c r="E36" s="5"/>
    </row>
    <row r="37" customFormat="false" ht="15" hidden="false" customHeight="false" outlineLevel="0" collapsed="false">
      <c r="A37" s="15" t="str">
        <f aca="false">Categorias!$C$18</f>
        <v>Lazer e passeios</v>
      </c>
      <c r="B37" s="30" t="n">
        <f aca="false">Jan!B37</f>
        <v>120</v>
      </c>
      <c r="C37" s="28" t="n">
        <v>60</v>
      </c>
      <c r="D37" s="25" t="n">
        <f aca="false">IF(AND(B37="",C37=""),"",N(C37)-N(B37))</f>
        <v>-60</v>
      </c>
      <c r="E37" s="5"/>
    </row>
    <row r="38" customFormat="false" ht="15" hidden="false" customHeight="false" outlineLevel="0" collapsed="false">
      <c r="A38" s="15" t="str">
        <f aca="false">Categorias!$C$19</f>
        <v>Compras (roupas, eletrônicos, casa)</v>
      </c>
      <c r="B38" s="30" t="n">
        <f aca="false">Jan!B38</f>
        <v>80</v>
      </c>
      <c r="C38" s="28" t="n">
        <v>80</v>
      </c>
      <c r="D38" s="25" t="n">
        <f aca="false">IF(AND(B38="",C38=""),"",N(C38)-N(B38))</f>
        <v>0</v>
      </c>
      <c r="E38" s="5"/>
    </row>
    <row r="39" customFormat="false" ht="15" hidden="false" customHeight="false" outlineLevel="0" collapsed="false">
      <c r="A39" s="15" t="str">
        <f aca="false">Categorias!$C$20</f>
        <v>Assinaturas e aplicativos</v>
      </c>
      <c r="B39" s="30" t="n">
        <f aca="false">Jan!B39</f>
        <v>50</v>
      </c>
      <c r="C39" s="28" t="n">
        <v>50</v>
      </c>
      <c r="D39" s="25" t="n">
        <f aca="false">IF(AND(B39="",C39=""),"",N(C39)-N(B39))</f>
        <v>0</v>
      </c>
      <c r="E39" s="5"/>
    </row>
    <row r="40" customFormat="false" ht="15" hidden="false" customHeight="false" outlineLevel="0" collapsed="false">
      <c r="A40" s="15" t="str">
        <f aca="false">Categorias!$C$21</f>
        <v>Cuidados pessoais</v>
      </c>
      <c r="B40" s="30" t="n">
        <f aca="false">Jan!B40</f>
        <v>0</v>
      </c>
      <c r="C40" s="28"/>
      <c r="D40" s="25" t="n">
        <f aca="false">IF(AND(B40="",C40=""),"",N(C40)-N(B40))</f>
        <v>0</v>
      </c>
      <c r="E40" s="5"/>
    </row>
    <row r="41" customFormat="false" ht="15" hidden="false" customHeight="false" outlineLevel="0" collapsed="false">
      <c r="A41" s="15" t="str">
        <f aca="false">Categorias!$C$22</f>
        <v>Presentes e outros</v>
      </c>
      <c r="B41" s="30" t="n">
        <f aca="false">Jan!B41</f>
        <v>0</v>
      </c>
      <c r="C41" s="28"/>
      <c r="D41" s="25" t="n">
        <f aca="false">IF(AND(B41="",C41=""),"",N(C41)-N(B41))</f>
        <v>0</v>
      </c>
      <c r="E41" s="5"/>
    </row>
    <row r="42" customFormat="false" ht="15" hidden="false" customHeight="false" outlineLevel="0" collapsed="false">
      <c r="A42" s="19" t="s">
        <v>148</v>
      </c>
      <c r="B42" s="20" t="n">
        <f aca="false">SUM(B36:B41)</f>
        <v>400</v>
      </c>
      <c r="C42" s="20" t="n">
        <f aca="false">SUM(C36:C41)</f>
        <v>340</v>
      </c>
      <c r="D42" s="20" t="n">
        <f aca="false">N(C42)-N(B42)</f>
        <v>-60</v>
      </c>
      <c r="E42" s="29"/>
    </row>
    <row r="43" customFormat="false" ht="15" hidden="false" customHeight="false" outlineLevel="0" collapsed="false">
      <c r="A43" s="31" t="s">
        <v>149</v>
      </c>
      <c r="B43" s="32" t="n">
        <f aca="false">N(B33)-B42</f>
        <v>1600</v>
      </c>
      <c r="C43" s="32" t="n">
        <f aca="false">IF(N(C8)=0,"",N(C33)-C42)</f>
        <v>1690</v>
      </c>
      <c r="D43" s="32" t="n">
        <f aca="false">N(C43)-N(B43)</f>
        <v>90</v>
      </c>
      <c r="E43" s="33"/>
    </row>
    <row r="45" customFormat="false" ht="15" hidden="false" customHeight="false" outlineLevel="0" collapsed="false">
      <c r="A45" s="13" t="s">
        <v>150</v>
      </c>
      <c r="B45" s="14"/>
      <c r="C45" s="14"/>
      <c r="D45" s="14"/>
      <c r="E45" s="14"/>
    </row>
    <row r="46" customFormat="false" ht="15" hidden="false" customHeight="false" outlineLevel="0" collapsed="false">
      <c r="A46" s="15" t="s">
        <v>151</v>
      </c>
      <c r="B46" s="30" t="n">
        <f aca="false">Jan!B46</f>
        <v>0</v>
      </c>
      <c r="C46" s="28"/>
      <c r="D46" s="25" t="n">
        <f aca="false">IF(AND(B46="",C46=""),"",N(C46)-N(B46))</f>
        <v>0</v>
      </c>
      <c r="E46" s="5"/>
    </row>
    <row r="47" customFormat="false" ht="15" hidden="false" customHeight="false" outlineLevel="0" collapsed="false">
      <c r="A47" s="15" t="s">
        <v>34</v>
      </c>
      <c r="B47" s="30" t="n">
        <f aca="false">Jan!B47</f>
        <v>1000</v>
      </c>
      <c r="C47" s="28" t="n">
        <v>1000</v>
      </c>
      <c r="D47" s="25" t="n">
        <f aca="false">IF(AND(B47="",C47=""),"",N(C47)-N(B47))</f>
        <v>0</v>
      </c>
      <c r="E47" s="5"/>
    </row>
    <row r="48" customFormat="false" ht="15" hidden="false" customHeight="false" outlineLevel="0" collapsed="false">
      <c r="A48" s="15" t="s">
        <v>152</v>
      </c>
      <c r="B48" s="30" t="n">
        <f aca="false">Jan!B48</f>
        <v>120</v>
      </c>
      <c r="C48" s="28" t="n">
        <v>120</v>
      </c>
      <c r="D48" s="25" t="n">
        <f aca="false">IF(AND(B48="",C48=""),"",N(C48)-N(B48))</f>
        <v>0</v>
      </c>
      <c r="E48" s="5"/>
    </row>
    <row r="49" customFormat="false" ht="15" hidden="false" customHeight="false" outlineLevel="0" collapsed="false">
      <c r="A49" s="15" t="str">
        <f aca="false">IF(Metas!$B$6="","Meta 1 (aba Metas)","Meta 1: "&amp;Metas!$B$6)</f>
        <v>Meta 1: Entrada do apartamento</v>
      </c>
      <c r="B49" s="30" t="n">
        <f aca="false">Jan!B49</f>
        <v>480</v>
      </c>
      <c r="C49" s="28" t="n">
        <v>480</v>
      </c>
      <c r="D49" s="25" t="n">
        <f aca="false">IF(AND(B49="",C49=""),"",N(C49)-N(B49))</f>
        <v>0</v>
      </c>
      <c r="E49" s="5"/>
    </row>
    <row r="50" customFormat="false" ht="15" hidden="false" customHeight="false" outlineLevel="0" collapsed="false">
      <c r="A50" s="15" t="str">
        <f aca="false">IF(Metas!$B$7="","Meta 2 (aba Metas)","Meta 2: "&amp;Metas!$B$7)</f>
        <v>Meta 2: Faculdade do filho</v>
      </c>
      <c r="B50" s="30" t="n">
        <f aca="false">Jan!B50</f>
        <v>0</v>
      </c>
      <c r="C50" s="28"/>
      <c r="D50" s="25" t="n">
        <f aca="false">IF(AND(B50="",C50=""),"",N(C50)-N(B50))</f>
        <v>0</v>
      </c>
      <c r="E50" s="5"/>
    </row>
    <row r="51" customFormat="false" ht="15" hidden="false" customHeight="false" outlineLevel="0" collapsed="false">
      <c r="A51" s="15" t="str">
        <f aca="false">IF(Metas!$B$8="","Meta 3 (aba Metas)","Meta 3: "&amp;Metas!$B$8)</f>
        <v>Meta 3 (aba Metas)</v>
      </c>
      <c r="B51" s="30" t="n">
        <f aca="false">Jan!B51</f>
        <v>0</v>
      </c>
      <c r="C51" s="28"/>
      <c r="D51" s="25" t="n">
        <f aca="false">IF(AND(B51="",C51=""),"",N(C51)-N(B51))</f>
        <v>0</v>
      </c>
      <c r="E51" s="5"/>
    </row>
    <row r="52" customFormat="false" ht="15" hidden="false" customHeight="false" outlineLevel="0" collapsed="false">
      <c r="A52" s="15" t="str">
        <f aca="false">IF(Metas!$B$9="","Meta 4 (aba Metas)","Meta 4: "&amp;Metas!$B$9)</f>
        <v>Meta 4 (aba Metas)</v>
      </c>
      <c r="B52" s="30" t="n">
        <f aca="false">Jan!B52</f>
        <v>0</v>
      </c>
      <c r="C52" s="28"/>
      <c r="D52" s="25" t="n">
        <f aca="false">IF(AND(B52="",C52=""),"",N(C52)-N(B52))</f>
        <v>0</v>
      </c>
      <c r="E52" s="5"/>
    </row>
    <row r="53" customFormat="false" ht="15" hidden="false" customHeight="false" outlineLevel="0" collapsed="false">
      <c r="A53" s="15" t="str">
        <f aca="false">IF(Metas!$B$10="","Meta 5 (aba Metas)","Meta 5: "&amp;Metas!$B$10)</f>
        <v>Meta 5 (aba Metas)</v>
      </c>
      <c r="B53" s="30" t="n">
        <f aca="false">Jan!B53</f>
        <v>0</v>
      </c>
      <c r="C53" s="28"/>
      <c r="D53" s="25" t="n">
        <f aca="false">IF(AND(B53="",C53=""),"",N(C53)-N(B53))</f>
        <v>0</v>
      </c>
      <c r="E53" s="5"/>
    </row>
    <row r="54" customFormat="false" ht="15" hidden="false" customHeight="false" outlineLevel="0" collapsed="false">
      <c r="A54" s="15" t="s">
        <v>153</v>
      </c>
      <c r="B54" s="30" t="n">
        <f aca="false">Jan!B54</f>
        <v>0</v>
      </c>
      <c r="C54" s="28"/>
      <c r="D54" s="25" t="n">
        <f aca="false">IF(AND(B54="",C54=""),"",N(C54)-N(B54))</f>
        <v>0</v>
      </c>
      <c r="E54" s="5"/>
    </row>
    <row r="55" customFormat="false" ht="15" hidden="false" customHeight="false" outlineLevel="0" collapsed="false">
      <c r="A55" s="19" t="s">
        <v>119</v>
      </c>
      <c r="B55" s="20" t="n">
        <f aca="false">SUM(B46:B54)</f>
        <v>1600</v>
      </c>
      <c r="C55" s="20" t="n">
        <f aca="false">SUM(C46:C54)</f>
        <v>1600</v>
      </c>
      <c r="D55" s="20" t="n">
        <f aca="false">N(C55)-N(B55)</f>
        <v>0</v>
      </c>
      <c r="E55" s="29"/>
    </row>
    <row r="57" customFormat="false" ht="15" hidden="false" customHeight="false" outlineLevel="0" collapsed="false">
      <c r="A57" s="31" t="s">
        <v>154</v>
      </c>
      <c r="B57" s="32" t="n">
        <f aca="false">N(B43)-B55+N(B9)</f>
        <v>0</v>
      </c>
      <c r="C57" s="32" t="n">
        <f aca="false">IF(N(C8)=0,"",N(C43)-C55+N(C9))</f>
        <v>90</v>
      </c>
      <c r="D57" s="32" t="n">
        <f aca="false">N(C57)-N(B57)</f>
        <v>90</v>
      </c>
      <c r="E57" s="34" t="s">
        <v>155</v>
      </c>
    </row>
    <row r="59" customFormat="false" ht="15" hidden="false" customHeight="false" outlineLevel="0" collapsed="false">
      <c r="A59" s="13" t="s">
        <v>156</v>
      </c>
      <c r="B59" s="14"/>
      <c r="C59" s="14"/>
      <c r="D59" s="14"/>
      <c r="E59" s="14"/>
    </row>
    <row r="60" customFormat="false" ht="15" hidden="false" customHeight="false" outlineLevel="0" collapsed="false">
      <c r="A60" s="15" t="s">
        <v>126</v>
      </c>
      <c r="C60" s="27" t="n">
        <f aca="false">IFERROR((C55-N(C48))/C10,0)</f>
        <v>0.185</v>
      </c>
    </row>
    <row r="61" customFormat="false" ht="15" hidden="false" customHeight="false" outlineLevel="0" collapsed="false">
      <c r="A61" s="15" t="s">
        <v>157</v>
      </c>
      <c r="C61" s="27" t="n">
        <f aca="false">IFERROR((C19+C27+N(C30))/C8,0)</f>
        <v>0.74625</v>
      </c>
    </row>
    <row r="62" customFormat="false" ht="15" hidden="false" customHeight="false" outlineLevel="0" collapsed="false">
      <c r="A62" s="15" t="s">
        <v>158</v>
      </c>
      <c r="C62" s="27" t="n">
        <f aca="false">IFERROR(C42/C8,0)</f>
        <v>0.0425</v>
      </c>
    </row>
    <row r="63" customFormat="false" ht="15" hidden="false" customHeight="false" outlineLevel="0" collapsed="false">
      <c r="A63" s="15" t="s">
        <v>159</v>
      </c>
      <c r="C63" s="27" t="n">
        <f aca="false">IFERROR(C55/C8,0)</f>
        <v>0.2</v>
      </c>
    </row>
    <row r="64" customFormat="false" ht="15" hidden="false" customHeight="false" outlineLevel="0" collapsed="false">
      <c r="A64" s="2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A1:E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tr">
        <f aca="false">"Orçamento de março de "&amp;Início!$C$5</f>
        <v>Orçamento de março de 2026</v>
      </c>
    </row>
    <row r="2" customFormat="false" ht="15" hidden="false" customHeight="false" outlineLevel="0" collapsed="false">
      <c r="A2" s="2" t="s">
        <v>162</v>
      </c>
    </row>
    <row r="3" customFormat="false" ht="15" hidden="false" customHeight="false" outlineLevel="0" collapsed="false">
      <c r="A3" s="22" t="s">
        <v>130</v>
      </c>
      <c r="B3" s="22" t="s">
        <v>131</v>
      </c>
      <c r="C3" s="22" t="s">
        <v>132</v>
      </c>
      <c r="D3" s="22" t="s">
        <v>133</v>
      </c>
      <c r="E3" s="22" t="s">
        <v>134</v>
      </c>
    </row>
    <row r="4" customFormat="false" ht="15" hidden="false" customHeight="false" outlineLevel="0" collapsed="false">
      <c r="A4" s="13" t="s">
        <v>135</v>
      </c>
      <c r="B4" s="14"/>
      <c r="C4" s="14"/>
      <c r="D4" s="14"/>
      <c r="E4" s="14"/>
    </row>
    <row r="5" customFormat="false" ht="15" hidden="false" customHeight="false" outlineLevel="0" collapsed="false">
      <c r="A5" s="15" t="str">
        <f aca="false">"Renda líquida de "&amp;Início!$C$6</f>
        <v>Renda líquida de Paula</v>
      </c>
      <c r="B5" s="30" t="n">
        <f aca="false">Fev!B5</f>
        <v>4500</v>
      </c>
      <c r="C5" s="28" t="n">
        <v>4500</v>
      </c>
      <c r="D5" s="25" t="n">
        <f aca="false">IF(AND(B5="",C5=""),"",N(C5)-N(B5))</f>
        <v>0</v>
      </c>
      <c r="E5" s="5"/>
    </row>
    <row r="6" customFormat="false" ht="15" hidden="false" customHeight="false" outlineLevel="0" collapsed="false">
      <c r="A6" s="15" t="str">
        <f aca="false">"Renda líquida de "&amp;Início!$C$7</f>
        <v>Renda líquida de Marcos</v>
      </c>
      <c r="B6" s="30" t="n">
        <f aca="false">Fev!B6</f>
        <v>3500</v>
      </c>
      <c r="C6" s="28" t="n">
        <v>3500</v>
      </c>
      <c r="D6" s="25" t="n">
        <f aca="false">IF(AND(B6="",C6=""),"",N(C6)-N(B6))</f>
        <v>0</v>
      </c>
      <c r="E6" s="5"/>
    </row>
    <row r="7" customFormat="false" ht="15" hidden="false" customHeight="false" outlineLevel="0" collapsed="false">
      <c r="A7" s="15" t="s">
        <v>136</v>
      </c>
      <c r="B7" s="30" t="n">
        <f aca="false">Fev!B7</f>
        <v>0</v>
      </c>
      <c r="C7" s="28"/>
      <c r="D7" s="25" t="str">
        <f aca="false">IF(AND(B7="",C7=""),"",N(C7)-N(B7))</f>
        <v/>
      </c>
      <c r="E7" s="5"/>
    </row>
    <row r="8" customFormat="false" ht="15" hidden="false" customHeight="false" outlineLevel="0" collapsed="false">
      <c r="A8" s="19" t="s">
        <v>110</v>
      </c>
      <c r="B8" s="20" t="n">
        <f aca="false">SUM(B5:B7)</f>
        <v>8000</v>
      </c>
      <c r="C8" s="20" t="n">
        <f aca="false">SUM(C5:C7)</f>
        <v>8000</v>
      </c>
      <c r="D8" s="20" t="n">
        <f aca="false">N(C8)-N(B8)</f>
        <v>0</v>
      </c>
      <c r="E8" s="29"/>
    </row>
    <row r="9" customFormat="false" ht="15" hidden="false" customHeight="false" outlineLevel="0" collapsed="false">
      <c r="A9" s="15" t="s">
        <v>137</v>
      </c>
      <c r="B9" s="30" t="n">
        <f aca="false">Fev!B9</f>
        <v>0</v>
      </c>
      <c r="C9" s="28" t="n">
        <v>0</v>
      </c>
      <c r="D9" s="25" t="n">
        <f aca="false">IF(AND(B9="",C9=""),"",N(C9)-N(B9))</f>
        <v>0</v>
      </c>
      <c r="E9" s="5"/>
    </row>
    <row r="10" customFormat="false" ht="15" hidden="false" customHeight="false" outlineLevel="0" collapsed="false">
      <c r="A10" s="19" t="s">
        <v>111</v>
      </c>
      <c r="B10" s="20" t="n">
        <f aca="false">B8+N(B9)</f>
        <v>8000</v>
      </c>
      <c r="C10" s="20" t="n">
        <f aca="false">C8+N(C9)</f>
        <v>8000</v>
      </c>
      <c r="D10" s="20" t="n">
        <f aca="false">N(C10)-N(B10)</f>
        <v>0</v>
      </c>
      <c r="E10" s="29"/>
    </row>
    <row r="12" customFormat="false" ht="15" hidden="false" customHeight="false" outlineLevel="0" collapsed="false">
      <c r="A12" s="13" t="s">
        <v>138</v>
      </c>
      <c r="B12" s="14"/>
      <c r="C12" s="14"/>
      <c r="D12" s="14"/>
      <c r="E12" s="14"/>
    </row>
    <row r="13" customFormat="false" ht="15" hidden="false" customHeight="false" outlineLevel="0" collapsed="false">
      <c r="A13" s="15" t="str">
        <f aca="false">Categorias!$C$6</f>
        <v>Moradia (aluguel ou prestação, condomínio)</v>
      </c>
      <c r="B13" s="30" t="n">
        <f aca="false">Fev!B13</f>
        <v>2000</v>
      </c>
      <c r="C13" s="28" t="n">
        <v>2000</v>
      </c>
      <c r="D13" s="25" t="n">
        <f aca="false">IF(AND(B13="",C13=""),"",N(C13)-N(B13))</f>
        <v>0</v>
      </c>
      <c r="E13" s="5"/>
    </row>
    <row r="14" customFormat="false" ht="15" hidden="false" customHeight="false" outlineLevel="0" collapsed="false">
      <c r="A14" s="15" t="str">
        <f aca="false">Categorias!$C$7</f>
        <v>Contas da casa (luz, água, gás, internet, celular)</v>
      </c>
      <c r="B14" s="30" t="n">
        <f aca="false">Fev!B14</f>
        <v>450</v>
      </c>
      <c r="C14" s="28" t="n">
        <v>430</v>
      </c>
      <c r="D14" s="25" t="n">
        <f aca="false">IF(AND(B14="",C14=""),"",N(C14)-N(B14))</f>
        <v>-20</v>
      </c>
      <c r="E14" s="5"/>
    </row>
    <row r="15" customFormat="false" ht="15" hidden="false" customHeight="false" outlineLevel="0" collapsed="false">
      <c r="A15" s="15" t="str">
        <f aca="false">Categorias!$C$8</f>
        <v>Alimentação (supermercado e feira)</v>
      </c>
      <c r="B15" s="30" t="n">
        <f aca="false">Fev!B15</f>
        <v>1150</v>
      </c>
      <c r="C15" s="28" t="n">
        <v>1150</v>
      </c>
      <c r="D15" s="25" t="n">
        <f aca="false">IF(AND(B15="",C15=""),"",N(C15)-N(B15))</f>
        <v>0</v>
      </c>
      <c r="E15" s="5"/>
    </row>
    <row r="16" customFormat="false" ht="15" hidden="false" customHeight="false" outlineLevel="0" collapsed="false">
      <c r="A16" s="15" t="str">
        <f aca="false">Categorias!$C$9</f>
        <v>Transporte (combustível, transporte público, aplicativo)</v>
      </c>
      <c r="B16" s="30" t="n">
        <f aca="false">Fev!B16</f>
        <v>350</v>
      </c>
      <c r="C16" s="28" t="n">
        <v>390</v>
      </c>
      <c r="D16" s="25" t="n">
        <f aca="false">IF(AND(B16="",C16=""),"",N(C16)-N(B16))</f>
        <v>40</v>
      </c>
      <c r="E16" s="5"/>
    </row>
    <row r="17" customFormat="false" ht="15" hidden="false" customHeight="false" outlineLevel="0" collapsed="false">
      <c r="A17" s="15" t="str">
        <f aca="false">Categorias!$C$10</f>
        <v>Saúde (plano, farmácia, consultas)</v>
      </c>
      <c r="B17" s="30" t="n">
        <f aca="false">Fev!B17</f>
        <v>250</v>
      </c>
      <c r="C17" s="28" t="n">
        <v>250</v>
      </c>
      <c r="D17" s="25" t="n">
        <f aca="false">IF(AND(B17="",C17=""),"",N(C17)-N(B17))</f>
        <v>0</v>
      </c>
      <c r="E17" s="5"/>
    </row>
    <row r="18" customFormat="false" ht="15" hidden="false" customHeight="false" outlineLevel="0" collapsed="false">
      <c r="A18" s="15" t="str">
        <f aca="false">Categorias!$C$11</f>
        <v>Outros essenciais</v>
      </c>
      <c r="B18" s="30" t="n">
        <f aca="false">Fev!B18</f>
        <v>0</v>
      </c>
      <c r="C18" s="28"/>
      <c r="D18" s="25" t="n">
        <f aca="false">IF(AND(B18="",C18=""),"",N(C18)-N(B18))</f>
        <v>0</v>
      </c>
      <c r="E18" s="5"/>
    </row>
    <row r="19" customFormat="false" ht="15" hidden="false" customHeight="false" outlineLevel="0" collapsed="false">
      <c r="A19" s="19" t="s">
        <v>139</v>
      </c>
      <c r="B19" s="20" t="n">
        <f aca="false">SUM(B13:B18)</f>
        <v>4200</v>
      </c>
      <c r="C19" s="20" t="n">
        <f aca="false">SUM(C13:C18)</f>
        <v>4220</v>
      </c>
      <c r="D19" s="20" t="n">
        <f aca="false">N(C19)-N(B19)</f>
        <v>20</v>
      </c>
      <c r="E19" s="29"/>
    </row>
    <row r="21" customFormat="false" ht="15" hidden="false" customHeight="false" outlineLevel="0" collapsed="false">
      <c r="A21" s="13" t="s">
        <v>140</v>
      </c>
      <c r="B21" s="14"/>
      <c r="C21" s="14"/>
      <c r="D21" s="14"/>
      <c r="E21" s="14"/>
    </row>
    <row r="22" customFormat="false" ht="15" hidden="false" customHeight="false" outlineLevel="0" collapsed="false">
      <c r="A22" s="15" t="str">
        <f aca="false">Categorias!$C$12</f>
        <v>Financiamento ou empréstimo</v>
      </c>
      <c r="B22" s="30" t="n">
        <f aca="false">Fev!B22</f>
        <v>0</v>
      </c>
      <c r="C22" s="28"/>
      <c r="D22" s="25" t="n">
        <f aca="false">IF(AND(B22="",C22=""),"",N(C22)-N(B22))</f>
        <v>0</v>
      </c>
      <c r="E22" s="5"/>
    </row>
    <row r="23" customFormat="false" ht="15" hidden="false" customHeight="false" outlineLevel="0" collapsed="false">
      <c r="A23" s="15" t="str">
        <f aca="false">Categorias!$C$13</f>
        <v>Parcela do carro</v>
      </c>
      <c r="B23" s="30" t="n">
        <f aca="false">Fev!B23</f>
        <v>900</v>
      </c>
      <c r="C23" s="28" t="n">
        <v>900</v>
      </c>
      <c r="D23" s="25" t="n">
        <f aca="false">IF(AND(B23="",C23=""),"",N(C23)-N(B23))</f>
        <v>0</v>
      </c>
      <c r="E23" s="5"/>
    </row>
    <row r="24" customFormat="false" ht="15" hidden="false" customHeight="false" outlineLevel="0" collapsed="false">
      <c r="A24" s="15" t="str">
        <f aca="false">Categorias!$C$14</f>
        <v>Escola, faculdade e cursos</v>
      </c>
      <c r="B24" s="30" t="n">
        <f aca="false">Fev!B24</f>
        <v>400</v>
      </c>
      <c r="C24" s="28" t="n">
        <v>400</v>
      </c>
      <c r="D24" s="25" t="n">
        <f aca="false">IF(AND(B24="",C24=""),"",N(C24)-N(B24))</f>
        <v>0</v>
      </c>
      <c r="E24" s="5"/>
    </row>
    <row r="25" customFormat="false" ht="15" hidden="false" customHeight="false" outlineLevel="0" collapsed="false">
      <c r="A25" s="15" t="str">
        <f aca="false">Categorias!$C$15</f>
        <v>Seguros mensais</v>
      </c>
      <c r="B25" s="30" t="n">
        <f aca="false">Fev!B25</f>
        <v>0</v>
      </c>
      <c r="C25" s="28"/>
      <c r="D25" s="25" t="n">
        <f aca="false">IF(AND(B25="",C25=""),"",N(C25)-N(B25))</f>
        <v>0</v>
      </c>
      <c r="E25" s="5"/>
    </row>
    <row r="26" customFormat="false" ht="15" hidden="false" customHeight="false" outlineLevel="0" collapsed="false">
      <c r="A26" s="15" t="str">
        <f aca="false">Categorias!$C$16</f>
        <v>Outras parcelas e mensalidades</v>
      </c>
      <c r="B26" s="30" t="n">
        <f aca="false">Fev!B26</f>
        <v>0</v>
      </c>
      <c r="C26" s="28"/>
      <c r="D26" s="25" t="n">
        <f aca="false">IF(AND(B26="",C26=""),"",N(C26)-N(B26))</f>
        <v>0</v>
      </c>
      <c r="E26" s="5"/>
    </row>
    <row r="27" customFormat="false" ht="15" hidden="false" customHeight="false" outlineLevel="0" collapsed="false">
      <c r="A27" s="19" t="s">
        <v>141</v>
      </c>
      <c r="B27" s="20" t="n">
        <f aca="false">SUM(B22:B26)</f>
        <v>1300</v>
      </c>
      <c r="C27" s="20" t="n">
        <f aca="false">SUM(C22:C26)</f>
        <v>1300</v>
      </c>
      <c r="D27" s="20" t="n">
        <f aca="false">N(C27)-N(B27)</f>
        <v>0</v>
      </c>
      <c r="E27" s="29"/>
    </row>
    <row r="29" customFormat="false" ht="15" hidden="false" customHeight="false" outlineLevel="0" collapsed="false">
      <c r="A29" s="13" t="s">
        <v>142</v>
      </c>
      <c r="B29" s="14"/>
      <c r="C29" s="14"/>
      <c r="D29" s="14"/>
      <c r="E29" s="14"/>
    </row>
    <row r="30" customFormat="false" ht="15" hidden="false" customHeight="false" outlineLevel="0" collapsed="false">
      <c r="A30" s="15" t="s">
        <v>143</v>
      </c>
      <c r="B30" s="30" t="n">
        <f aca="false">Irregulares!$C$28</f>
        <v>500</v>
      </c>
      <c r="C30" s="30" t="n">
        <f aca="false">IF(N(C8)=0,"",Irregulares!$C$28)</f>
        <v>500</v>
      </c>
      <c r="D30" s="25" t="n">
        <f aca="false">N(C30)-N(B30)</f>
        <v>0</v>
      </c>
    </row>
    <row r="31" customFormat="false" ht="15" hidden="false" customHeight="false" outlineLevel="0" collapsed="false">
      <c r="A31" s="15" t="s">
        <v>144</v>
      </c>
      <c r="B31" s="30" t="n">
        <f aca="false">SUMIF(Irregulares!$D$6:$D$25,3,Irregulares!$C$6:$C$25)</f>
        <v>2400</v>
      </c>
      <c r="C31" s="28" t="n">
        <v>2400</v>
      </c>
      <c r="D31" s="25" t="n">
        <f aca="false">IF(AND(B31="",C31=""),"",N(C31)-N(B31))</f>
        <v>0</v>
      </c>
      <c r="E31" s="2" t="s">
        <v>145</v>
      </c>
    </row>
    <row r="33" customFormat="false" ht="15" hidden="false" customHeight="false" outlineLevel="0" collapsed="false">
      <c r="A33" s="31" t="s">
        <v>146</v>
      </c>
      <c r="B33" s="32" t="n">
        <f aca="false">B8-B19-B27-N(B30)</f>
        <v>2000</v>
      </c>
      <c r="C33" s="32" t="n">
        <f aca="false">IF(N(C8)=0,"",C8-C19-C27-N(C30))</f>
        <v>1980</v>
      </c>
      <c r="D33" s="32" t="n">
        <f aca="false">N(C33)-N(B33)</f>
        <v>-20</v>
      </c>
      <c r="E33" s="33"/>
    </row>
    <row r="35" customFormat="false" ht="15" hidden="false" customHeight="false" outlineLevel="0" collapsed="false">
      <c r="A35" s="13" t="s">
        <v>147</v>
      </c>
      <c r="B35" s="14"/>
      <c r="C35" s="14"/>
      <c r="D35" s="14"/>
      <c r="E35" s="14"/>
    </row>
    <row r="36" customFormat="false" ht="15" hidden="false" customHeight="false" outlineLevel="0" collapsed="false">
      <c r="A36" s="15" t="str">
        <f aca="false">Categorias!$C$17</f>
        <v>Restaurantes e delivery</v>
      </c>
      <c r="B36" s="30" t="n">
        <f aca="false">Fev!B36</f>
        <v>150</v>
      </c>
      <c r="C36" s="28" t="n">
        <v>150</v>
      </c>
      <c r="D36" s="25" t="n">
        <f aca="false">IF(AND(B36="",C36=""),"",N(C36)-N(B36))</f>
        <v>0</v>
      </c>
      <c r="E36" s="5"/>
    </row>
    <row r="37" customFormat="false" ht="15" hidden="false" customHeight="false" outlineLevel="0" collapsed="false">
      <c r="A37" s="15" t="str">
        <f aca="false">Categorias!$C$18</f>
        <v>Lazer e passeios</v>
      </c>
      <c r="B37" s="30" t="n">
        <f aca="false">Fev!B37</f>
        <v>120</v>
      </c>
      <c r="C37" s="28" t="n">
        <v>120</v>
      </c>
      <c r="D37" s="25" t="n">
        <f aca="false">IF(AND(B37="",C37=""),"",N(C37)-N(B37))</f>
        <v>0</v>
      </c>
      <c r="E37" s="5"/>
    </row>
    <row r="38" customFormat="false" ht="15" hidden="false" customHeight="false" outlineLevel="0" collapsed="false">
      <c r="A38" s="15" t="str">
        <f aca="false">Categorias!$C$19</f>
        <v>Compras (roupas, eletrônicos, casa)</v>
      </c>
      <c r="B38" s="30" t="n">
        <f aca="false">Fev!B38</f>
        <v>80</v>
      </c>
      <c r="C38" s="28" t="n">
        <v>150</v>
      </c>
      <c r="D38" s="25" t="n">
        <f aca="false">IF(AND(B38="",C38=""),"",N(C38)-N(B38))</f>
        <v>70</v>
      </c>
      <c r="E38" s="5"/>
    </row>
    <row r="39" customFormat="false" ht="15" hidden="false" customHeight="false" outlineLevel="0" collapsed="false">
      <c r="A39" s="15" t="str">
        <f aca="false">Categorias!$C$20</f>
        <v>Assinaturas e aplicativos</v>
      </c>
      <c r="B39" s="30" t="n">
        <f aca="false">Fev!B39</f>
        <v>50</v>
      </c>
      <c r="C39" s="28" t="n">
        <v>50</v>
      </c>
      <c r="D39" s="25" t="n">
        <f aca="false">IF(AND(B39="",C39=""),"",N(C39)-N(B39))</f>
        <v>0</v>
      </c>
      <c r="E39" s="5"/>
    </row>
    <row r="40" customFormat="false" ht="15" hidden="false" customHeight="false" outlineLevel="0" collapsed="false">
      <c r="A40" s="15" t="str">
        <f aca="false">Categorias!$C$21</f>
        <v>Cuidados pessoais</v>
      </c>
      <c r="B40" s="30" t="n">
        <f aca="false">Fev!B40</f>
        <v>0</v>
      </c>
      <c r="C40" s="28"/>
      <c r="D40" s="25" t="n">
        <f aca="false">IF(AND(B40="",C40=""),"",N(C40)-N(B40))</f>
        <v>0</v>
      </c>
      <c r="E40" s="5"/>
    </row>
    <row r="41" customFormat="false" ht="15" hidden="false" customHeight="false" outlineLevel="0" collapsed="false">
      <c r="A41" s="15" t="str">
        <f aca="false">Categorias!$C$22</f>
        <v>Presentes e outros</v>
      </c>
      <c r="B41" s="30" t="n">
        <f aca="false">Fev!B41</f>
        <v>0</v>
      </c>
      <c r="C41" s="28"/>
      <c r="D41" s="25" t="n">
        <f aca="false">IF(AND(B41="",C41=""),"",N(C41)-N(B41))</f>
        <v>0</v>
      </c>
      <c r="E41" s="5"/>
    </row>
    <row r="42" customFormat="false" ht="15" hidden="false" customHeight="false" outlineLevel="0" collapsed="false">
      <c r="A42" s="19" t="s">
        <v>148</v>
      </c>
      <c r="B42" s="20" t="n">
        <f aca="false">SUM(B36:B41)</f>
        <v>400</v>
      </c>
      <c r="C42" s="20" t="n">
        <f aca="false">SUM(C36:C41)</f>
        <v>470</v>
      </c>
      <c r="D42" s="20" t="n">
        <f aca="false">N(C42)-N(B42)</f>
        <v>70</v>
      </c>
      <c r="E42" s="29"/>
    </row>
    <row r="43" customFormat="false" ht="15" hidden="false" customHeight="false" outlineLevel="0" collapsed="false">
      <c r="A43" s="31" t="s">
        <v>149</v>
      </c>
      <c r="B43" s="32" t="n">
        <f aca="false">N(B33)-B42</f>
        <v>1600</v>
      </c>
      <c r="C43" s="32" t="n">
        <f aca="false">IF(N(C8)=0,"",N(C33)-C42)</f>
        <v>1510</v>
      </c>
      <c r="D43" s="32" t="n">
        <f aca="false">N(C43)-N(B43)</f>
        <v>-90</v>
      </c>
      <c r="E43" s="33"/>
    </row>
    <row r="45" customFormat="false" ht="15" hidden="false" customHeight="false" outlineLevel="0" collapsed="false">
      <c r="A45" s="13" t="s">
        <v>150</v>
      </c>
      <c r="B45" s="14"/>
      <c r="C45" s="14"/>
      <c r="D45" s="14"/>
      <c r="E45" s="14"/>
    </row>
    <row r="46" customFormat="false" ht="15" hidden="false" customHeight="false" outlineLevel="0" collapsed="false">
      <c r="A46" s="15" t="s">
        <v>151</v>
      </c>
      <c r="B46" s="30" t="n">
        <f aca="false">Fev!B46</f>
        <v>0</v>
      </c>
      <c r="C46" s="28"/>
      <c r="D46" s="25" t="n">
        <f aca="false">IF(AND(B46="",C46=""),"",N(C46)-N(B46))</f>
        <v>0</v>
      </c>
      <c r="E46" s="5"/>
    </row>
    <row r="47" customFormat="false" ht="15" hidden="false" customHeight="false" outlineLevel="0" collapsed="false">
      <c r="A47" s="15" t="s">
        <v>34</v>
      </c>
      <c r="B47" s="30" t="n">
        <f aca="false">Fev!B47</f>
        <v>1000</v>
      </c>
      <c r="C47" s="28" t="n">
        <v>1000</v>
      </c>
      <c r="D47" s="25" t="n">
        <f aca="false">IF(AND(B47="",C47=""),"",N(C47)-N(B47))</f>
        <v>0</v>
      </c>
      <c r="E47" s="5"/>
    </row>
    <row r="48" customFormat="false" ht="15" hidden="false" customHeight="false" outlineLevel="0" collapsed="false">
      <c r="A48" s="15" t="s">
        <v>152</v>
      </c>
      <c r="B48" s="30" t="n">
        <f aca="false">Fev!B48</f>
        <v>120</v>
      </c>
      <c r="C48" s="28" t="n">
        <v>120</v>
      </c>
      <c r="D48" s="25" t="n">
        <f aca="false">IF(AND(B48="",C48=""),"",N(C48)-N(B48))</f>
        <v>0</v>
      </c>
      <c r="E48" s="5"/>
    </row>
    <row r="49" customFormat="false" ht="15" hidden="false" customHeight="false" outlineLevel="0" collapsed="false">
      <c r="A49" s="15" t="str">
        <f aca="false">IF(Metas!$B$6="","Meta 1 (aba Metas)","Meta 1: "&amp;Metas!$B$6)</f>
        <v>Meta 1: Entrada do apartamento</v>
      </c>
      <c r="B49" s="30" t="n">
        <f aca="false">Fev!B49</f>
        <v>480</v>
      </c>
      <c r="C49" s="28" t="n">
        <v>480</v>
      </c>
      <c r="D49" s="25" t="n">
        <f aca="false">IF(AND(B49="",C49=""),"",N(C49)-N(B49))</f>
        <v>0</v>
      </c>
      <c r="E49" s="5"/>
    </row>
    <row r="50" customFormat="false" ht="15" hidden="false" customHeight="false" outlineLevel="0" collapsed="false">
      <c r="A50" s="15" t="str">
        <f aca="false">IF(Metas!$B$7="","Meta 2 (aba Metas)","Meta 2: "&amp;Metas!$B$7)</f>
        <v>Meta 2: Faculdade do filho</v>
      </c>
      <c r="B50" s="30" t="n">
        <f aca="false">Fev!B50</f>
        <v>0</v>
      </c>
      <c r="C50" s="28"/>
      <c r="D50" s="25" t="n">
        <f aca="false">IF(AND(B50="",C50=""),"",N(C50)-N(B50))</f>
        <v>0</v>
      </c>
      <c r="E50" s="5"/>
    </row>
    <row r="51" customFormat="false" ht="15" hidden="false" customHeight="false" outlineLevel="0" collapsed="false">
      <c r="A51" s="15" t="str">
        <f aca="false">IF(Metas!$B$8="","Meta 3 (aba Metas)","Meta 3: "&amp;Metas!$B$8)</f>
        <v>Meta 3 (aba Metas)</v>
      </c>
      <c r="B51" s="30" t="n">
        <f aca="false">Fev!B51</f>
        <v>0</v>
      </c>
      <c r="C51" s="28"/>
      <c r="D51" s="25" t="n">
        <f aca="false">IF(AND(B51="",C51=""),"",N(C51)-N(B51))</f>
        <v>0</v>
      </c>
      <c r="E51" s="5"/>
    </row>
    <row r="52" customFormat="false" ht="15" hidden="false" customHeight="false" outlineLevel="0" collapsed="false">
      <c r="A52" s="15" t="str">
        <f aca="false">IF(Metas!$B$9="","Meta 4 (aba Metas)","Meta 4: "&amp;Metas!$B$9)</f>
        <v>Meta 4 (aba Metas)</v>
      </c>
      <c r="B52" s="30" t="n">
        <f aca="false">Fev!B52</f>
        <v>0</v>
      </c>
      <c r="C52" s="28"/>
      <c r="D52" s="25" t="n">
        <f aca="false">IF(AND(B52="",C52=""),"",N(C52)-N(B52))</f>
        <v>0</v>
      </c>
      <c r="E52" s="5"/>
    </row>
    <row r="53" customFormat="false" ht="15" hidden="false" customHeight="false" outlineLevel="0" collapsed="false">
      <c r="A53" s="15" t="str">
        <f aca="false">IF(Metas!$B$10="","Meta 5 (aba Metas)","Meta 5: "&amp;Metas!$B$10)</f>
        <v>Meta 5 (aba Metas)</v>
      </c>
      <c r="B53" s="30" t="n">
        <f aca="false">Fev!B53</f>
        <v>0</v>
      </c>
      <c r="C53" s="28"/>
      <c r="D53" s="25" t="n">
        <f aca="false">IF(AND(B53="",C53=""),"",N(C53)-N(B53))</f>
        <v>0</v>
      </c>
      <c r="E53" s="5"/>
    </row>
    <row r="54" customFormat="false" ht="15" hidden="false" customHeight="false" outlineLevel="0" collapsed="false">
      <c r="A54" s="15" t="s">
        <v>153</v>
      </c>
      <c r="B54" s="30" t="n">
        <f aca="false">Fev!B54</f>
        <v>0</v>
      </c>
      <c r="C54" s="28"/>
      <c r="D54" s="25" t="n">
        <f aca="false">IF(AND(B54="",C54=""),"",N(C54)-N(B54))</f>
        <v>0</v>
      </c>
      <c r="E54" s="5"/>
    </row>
    <row r="55" customFormat="false" ht="15" hidden="false" customHeight="false" outlineLevel="0" collapsed="false">
      <c r="A55" s="19" t="s">
        <v>119</v>
      </c>
      <c r="B55" s="20" t="n">
        <f aca="false">SUM(B46:B54)</f>
        <v>1600</v>
      </c>
      <c r="C55" s="20" t="n">
        <f aca="false">SUM(C46:C54)</f>
        <v>1600</v>
      </c>
      <c r="D55" s="20" t="n">
        <f aca="false">N(C55)-N(B55)</f>
        <v>0</v>
      </c>
      <c r="E55" s="29"/>
    </row>
    <row r="57" customFormat="false" ht="15" hidden="false" customHeight="false" outlineLevel="0" collapsed="false">
      <c r="A57" s="31" t="s">
        <v>154</v>
      </c>
      <c r="B57" s="32" t="n">
        <f aca="false">N(B43)-B55+N(B9)</f>
        <v>0</v>
      </c>
      <c r="C57" s="32" t="n">
        <f aca="false">IF(N(C8)=0,"",N(C43)-C55+N(C9))</f>
        <v>-90</v>
      </c>
      <c r="D57" s="32" t="n">
        <f aca="false">N(C57)-N(B57)</f>
        <v>-90</v>
      </c>
      <c r="E57" s="34" t="s">
        <v>155</v>
      </c>
    </row>
    <row r="59" customFormat="false" ht="15" hidden="false" customHeight="false" outlineLevel="0" collapsed="false">
      <c r="A59" s="13" t="s">
        <v>156</v>
      </c>
      <c r="B59" s="14"/>
      <c r="C59" s="14"/>
      <c r="D59" s="14"/>
      <c r="E59" s="14"/>
    </row>
    <row r="60" customFormat="false" ht="15" hidden="false" customHeight="false" outlineLevel="0" collapsed="false">
      <c r="A60" s="15" t="s">
        <v>126</v>
      </c>
      <c r="C60" s="27" t="n">
        <f aca="false">IFERROR((C55-N(C48))/C10,0)</f>
        <v>0.185</v>
      </c>
    </row>
    <row r="61" customFormat="false" ht="15" hidden="false" customHeight="false" outlineLevel="0" collapsed="false">
      <c r="A61" s="15" t="s">
        <v>157</v>
      </c>
      <c r="C61" s="27" t="n">
        <f aca="false">IFERROR((C19+C27+N(C30))/C8,0)</f>
        <v>0.7525</v>
      </c>
    </row>
    <row r="62" customFormat="false" ht="15" hidden="false" customHeight="false" outlineLevel="0" collapsed="false">
      <c r="A62" s="15" t="s">
        <v>158</v>
      </c>
      <c r="C62" s="27" t="n">
        <f aca="false">IFERROR(C42/C8,0)</f>
        <v>0.05875</v>
      </c>
    </row>
    <row r="63" customFormat="false" ht="15" hidden="false" customHeight="false" outlineLevel="0" collapsed="false">
      <c r="A63" s="15" t="s">
        <v>159</v>
      </c>
      <c r="C63" s="27" t="n">
        <f aca="false">IFERROR(C55/C8,0)</f>
        <v>0.2</v>
      </c>
    </row>
    <row r="64" customFormat="false" ht="15" hidden="false" customHeight="false" outlineLevel="0" collapsed="false">
      <c r="A64" s="2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A1:E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tr">
        <f aca="false">"Orçamento de abril de "&amp;Início!$C$5</f>
        <v>Orçamento de abril de 2026</v>
      </c>
    </row>
    <row r="2" customFormat="false" ht="15" hidden="false" customHeight="false" outlineLevel="0" collapsed="false">
      <c r="A2" s="2" t="s">
        <v>163</v>
      </c>
    </row>
    <row r="3" customFormat="false" ht="15" hidden="false" customHeight="false" outlineLevel="0" collapsed="false">
      <c r="A3" s="22" t="s">
        <v>130</v>
      </c>
      <c r="B3" s="22" t="s">
        <v>131</v>
      </c>
      <c r="C3" s="22" t="s">
        <v>132</v>
      </c>
      <c r="D3" s="22" t="s">
        <v>133</v>
      </c>
      <c r="E3" s="22" t="s">
        <v>134</v>
      </c>
    </row>
    <row r="4" customFormat="false" ht="15" hidden="false" customHeight="false" outlineLevel="0" collapsed="false">
      <c r="A4" s="13" t="s">
        <v>135</v>
      </c>
      <c r="B4" s="14"/>
      <c r="C4" s="14"/>
      <c r="D4" s="14"/>
      <c r="E4" s="14"/>
    </row>
    <row r="5" customFormat="false" ht="15" hidden="false" customHeight="false" outlineLevel="0" collapsed="false">
      <c r="A5" s="15" t="str">
        <f aca="false">"Renda líquida de "&amp;Início!$C$6</f>
        <v>Renda líquida de Paula</v>
      </c>
      <c r="B5" s="30" t="n">
        <f aca="false">Mar!B5</f>
        <v>4500</v>
      </c>
      <c r="C5" s="28"/>
      <c r="D5" s="25" t="n">
        <f aca="false">IF(AND(B5="",C5=""),"",N(C5)-N(B5))</f>
        <v>-4500</v>
      </c>
      <c r="E5" s="5"/>
    </row>
    <row r="6" customFormat="false" ht="15" hidden="false" customHeight="false" outlineLevel="0" collapsed="false">
      <c r="A6" s="15" t="str">
        <f aca="false">"Renda líquida de "&amp;Início!$C$7</f>
        <v>Renda líquida de Marcos</v>
      </c>
      <c r="B6" s="30" t="n">
        <f aca="false">Mar!B6</f>
        <v>3500</v>
      </c>
      <c r="C6" s="28"/>
      <c r="D6" s="25" t="n">
        <f aca="false">IF(AND(B6="",C6=""),"",N(C6)-N(B6))</f>
        <v>-3500</v>
      </c>
      <c r="E6" s="5"/>
    </row>
    <row r="7" customFormat="false" ht="15" hidden="false" customHeight="false" outlineLevel="0" collapsed="false">
      <c r="A7" s="15" t="s">
        <v>136</v>
      </c>
      <c r="B7" s="30" t="n">
        <f aca="false">Mar!B7</f>
        <v>0</v>
      </c>
      <c r="C7" s="28"/>
      <c r="D7" s="25" t="str">
        <f aca="false">IF(AND(B7="",C7=""),"",N(C7)-N(B7))</f>
        <v/>
      </c>
      <c r="E7" s="5"/>
    </row>
    <row r="8" customFormat="false" ht="15" hidden="false" customHeight="false" outlineLevel="0" collapsed="false">
      <c r="A8" s="19" t="s">
        <v>110</v>
      </c>
      <c r="B8" s="20" t="n">
        <f aca="false">SUM(B5:B7)</f>
        <v>8000</v>
      </c>
      <c r="C8" s="20" t="n">
        <f aca="false">SUM(C5:C7)</f>
        <v>0</v>
      </c>
      <c r="D8" s="20" t="n">
        <f aca="false">N(C8)-N(B8)</f>
        <v>-8000</v>
      </c>
      <c r="E8" s="29"/>
    </row>
    <row r="9" customFormat="false" ht="15" hidden="false" customHeight="false" outlineLevel="0" collapsed="false">
      <c r="A9" s="15" t="s">
        <v>137</v>
      </c>
      <c r="B9" s="30" t="n">
        <f aca="false">Mar!B9</f>
        <v>0</v>
      </c>
      <c r="C9" s="28"/>
      <c r="D9" s="25" t="str">
        <f aca="false">IF(AND(B9="",C9=""),"",N(C9)-N(B9))</f>
        <v/>
      </c>
      <c r="E9" s="5"/>
    </row>
    <row r="10" customFormat="false" ht="15" hidden="false" customHeight="false" outlineLevel="0" collapsed="false">
      <c r="A10" s="19" t="s">
        <v>111</v>
      </c>
      <c r="B10" s="20" t="n">
        <f aca="false">B8+N(B9)</f>
        <v>8000</v>
      </c>
      <c r="C10" s="20" t="n">
        <f aca="false">C8+N(C9)</f>
        <v>0</v>
      </c>
      <c r="D10" s="20" t="n">
        <f aca="false">N(C10)-N(B10)</f>
        <v>-8000</v>
      </c>
      <c r="E10" s="29"/>
    </row>
    <row r="12" customFormat="false" ht="15" hidden="false" customHeight="false" outlineLevel="0" collapsed="false">
      <c r="A12" s="13" t="s">
        <v>138</v>
      </c>
      <c r="B12" s="14"/>
      <c r="C12" s="14"/>
      <c r="D12" s="14"/>
      <c r="E12" s="14"/>
    </row>
    <row r="13" customFormat="false" ht="15" hidden="false" customHeight="false" outlineLevel="0" collapsed="false">
      <c r="A13" s="15" t="str">
        <f aca="false">Categorias!$C$6</f>
        <v>Moradia (aluguel ou prestação, condomínio)</v>
      </c>
      <c r="B13" s="30" t="n">
        <f aca="false">Mar!B13</f>
        <v>2000</v>
      </c>
      <c r="C13" s="28"/>
      <c r="D13" s="25" t="n">
        <f aca="false">IF(AND(B13="",C13=""),"",N(C13)-N(B13))</f>
        <v>-2000</v>
      </c>
      <c r="E13" s="5"/>
    </row>
    <row r="14" customFormat="false" ht="15" hidden="false" customHeight="false" outlineLevel="0" collapsed="false">
      <c r="A14" s="15" t="str">
        <f aca="false">Categorias!$C$7</f>
        <v>Contas da casa (luz, água, gás, internet, celular)</v>
      </c>
      <c r="B14" s="30" t="n">
        <f aca="false">Mar!B14</f>
        <v>450</v>
      </c>
      <c r="C14" s="28"/>
      <c r="D14" s="25" t="n">
        <f aca="false">IF(AND(B14="",C14=""),"",N(C14)-N(B14))</f>
        <v>-450</v>
      </c>
      <c r="E14" s="5"/>
    </row>
    <row r="15" customFormat="false" ht="15" hidden="false" customHeight="false" outlineLevel="0" collapsed="false">
      <c r="A15" s="15" t="str">
        <f aca="false">Categorias!$C$8</f>
        <v>Alimentação (supermercado e feira)</v>
      </c>
      <c r="B15" s="30" t="n">
        <f aca="false">Mar!B15</f>
        <v>1150</v>
      </c>
      <c r="C15" s="28"/>
      <c r="D15" s="25" t="n">
        <f aca="false">IF(AND(B15="",C15=""),"",N(C15)-N(B15))</f>
        <v>-1150</v>
      </c>
      <c r="E15" s="5"/>
    </row>
    <row r="16" customFormat="false" ht="15" hidden="false" customHeight="false" outlineLevel="0" collapsed="false">
      <c r="A16" s="15" t="str">
        <f aca="false">Categorias!$C$9</f>
        <v>Transporte (combustível, transporte público, aplicativo)</v>
      </c>
      <c r="B16" s="30" t="n">
        <f aca="false">Mar!B16</f>
        <v>350</v>
      </c>
      <c r="C16" s="28"/>
      <c r="D16" s="25" t="n">
        <f aca="false">IF(AND(B16="",C16=""),"",N(C16)-N(B16))</f>
        <v>-350</v>
      </c>
      <c r="E16" s="5"/>
    </row>
    <row r="17" customFormat="false" ht="15" hidden="false" customHeight="false" outlineLevel="0" collapsed="false">
      <c r="A17" s="15" t="str">
        <f aca="false">Categorias!$C$10</f>
        <v>Saúde (plano, farmácia, consultas)</v>
      </c>
      <c r="B17" s="30" t="n">
        <f aca="false">Mar!B17</f>
        <v>250</v>
      </c>
      <c r="C17" s="28"/>
      <c r="D17" s="25" t="n">
        <f aca="false">IF(AND(B17="",C17=""),"",N(C17)-N(B17))</f>
        <v>-250</v>
      </c>
      <c r="E17" s="5"/>
    </row>
    <row r="18" customFormat="false" ht="15" hidden="false" customHeight="false" outlineLevel="0" collapsed="false">
      <c r="A18" s="15" t="str">
        <f aca="false">Categorias!$C$11</f>
        <v>Outros essenciais</v>
      </c>
      <c r="B18" s="30" t="n">
        <f aca="false">Mar!B18</f>
        <v>0</v>
      </c>
      <c r="C18" s="28"/>
      <c r="D18" s="25" t="n">
        <f aca="false">IF(AND(B18="",C18=""),"",N(C18)-N(B18))</f>
        <v>0</v>
      </c>
      <c r="E18" s="5"/>
    </row>
    <row r="19" customFormat="false" ht="15" hidden="false" customHeight="false" outlineLevel="0" collapsed="false">
      <c r="A19" s="19" t="s">
        <v>139</v>
      </c>
      <c r="B19" s="20" t="n">
        <f aca="false">SUM(B13:B18)</f>
        <v>4200</v>
      </c>
      <c r="C19" s="20" t="n">
        <f aca="false">SUM(C13:C18)</f>
        <v>0</v>
      </c>
      <c r="D19" s="20" t="n">
        <f aca="false">N(C19)-N(B19)</f>
        <v>-4200</v>
      </c>
      <c r="E19" s="29"/>
    </row>
    <row r="21" customFormat="false" ht="15" hidden="false" customHeight="false" outlineLevel="0" collapsed="false">
      <c r="A21" s="13" t="s">
        <v>140</v>
      </c>
      <c r="B21" s="14"/>
      <c r="C21" s="14"/>
      <c r="D21" s="14"/>
      <c r="E21" s="14"/>
    </row>
    <row r="22" customFormat="false" ht="15" hidden="false" customHeight="false" outlineLevel="0" collapsed="false">
      <c r="A22" s="15" t="str">
        <f aca="false">Categorias!$C$12</f>
        <v>Financiamento ou empréstimo</v>
      </c>
      <c r="B22" s="30" t="n">
        <f aca="false">Mar!B22</f>
        <v>0</v>
      </c>
      <c r="C22" s="28"/>
      <c r="D22" s="25" t="n">
        <f aca="false">IF(AND(B22="",C22=""),"",N(C22)-N(B22))</f>
        <v>0</v>
      </c>
      <c r="E22" s="5"/>
    </row>
    <row r="23" customFormat="false" ht="15" hidden="false" customHeight="false" outlineLevel="0" collapsed="false">
      <c r="A23" s="15" t="str">
        <f aca="false">Categorias!$C$13</f>
        <v>Parcela do carro</v>
      </c>
      <c r="B23" s="30" t="n">
        <f aca="false">Mar!B23</f>
        <v>900</v>
      </c>
      <c r="C23" s="28"/>
      <c r="D23" s="25" t="n">
        <f aca="false">IF(AND(B23="",C23=""),"",N(C23)-N(B23))</f>
        <v>-900</v>
      </c>
      <c r="E23" s="5"/>
    </row>
    <row r="24" customFormat="false" ht="15" hidden="false" customHeight="false" outlineLevel="0" collapsed="false">
      <c r="A24" s="15" t="str">
        <f aca="false">Categorias!$C$14</f>
        <v>Escola, faculdade e cursos</v>
      </c>
      <c r="B24" s="30" t="n">
        <f aca="false">Mar!B24</f>
        <v>400</v>
      </c>
      <c r="C24" s="28"/>
      <c r="D24" s="25" t="n">
        <f aca="false">IF(AND(B24="",C24=""),"",N(C24)-N(B24))</f>
        <v>-400</v>
      </c>
      <c r="E24" s="5"/>
    </row>
    <row r="25" customFormat="false" ht="15" hidden="false" customHeight="false" outlineLevel="0" collapsed="false">
      <c r="A25" s="15" t="str">
        <f aca="false">Categorias!$C$15</f>
        <v>Seguros mensais</v>
      </c>
      <c r="B25" s="30" t="n">
        <f aca="false">Mar!B25</f>
        <v>0</v>
      </c>
      <c r="C25" s="28"/>
      <c r="D25" s="25" t="n">
        <f aca="false">IF(AND(B25="",C25=""),"",N(C25)-N(B25))</f>
        <v>0</v>
      </c>
      <c r="E25" s="5"/>
    </row>
    <row r="26" customFormat="false" ht="15" hidden="false" customHeight="false" outlineLevel="0" collapsed="false">
      <c r="A26" s="15" t="str">
        <f aca="false">Categorias!$C$16</f>
        <v>Outras parcelas e mensalidades</v>
      </c>
      <c r="B26" s="30" t="n">
        <f aca="false">Mar!B26</f>
        <v>0</v>
      </c>
      <c r="C26" s="28"/>
      <c r="D26" s="25" t="n">
        <f aca="false">IF(AND(B26="",C26=""),"",N(C26)-N(B26))</f>
        <v>0</v>
      </c>
      <c r="E26" s="5"/>
    </row>
    <row r="27" customFormat="false" ht="15" hidden="false" customHeight="false" outlineLevel="0" collapsed="false">
      <c r="A27" s="19" t="s">
        <v>141</v>
      </c>
      <c r="B27" s="20" t="n">
        <f aca="false">SUM(B22:B26)</f>
        <v>1300</v>
      </c>
      <c r="C27" s="20" t="n">
        <f aca="false">SUM(C22:C26)</f>
        <v>0</v>
      </c>
      <c r="D27" s="20" t="n">
        <f aca="false">N(C27)-N(B27)</f>
        <v>-1300</v>
      </c>
      <c r="E27" s="29"/>
    </row>
    <row r="29" customFormat="false" ht="15" hidden="false" customHeight="false" outlineLevel="0" collapsed="false">
      <c r="A29" s="13" t="s">
        <v>142</v>
      </c>
      <c r="B29" s="14"/>
      <c r="C29" s="14"/>
      <c r="D29" s="14"/>
      <c r="E29" s="14"/>
    </row>
    <row r="30" customFormat="false" ht="15" hidden="false" customHeight="false" outlineLevel="0" collapsed="false">
      <c r="A30" s="15" t="s">
        <v>143</v>
      </c>
      <c r="B30" s="30" t="n">
        <f aca="false">Irregulares!$C$28</f>
        <v>500</v>
      </c>
      <c r="C30" s="30" t="str">
        <f aca="false">IF(N(C8)=0,"",Irregulares!$C$28)</f>
        <v/>
      </c>
      <c r="D30" s="25" t="n">
        <f aca="false">N(C30)-N(B30)</f>
        <v>-500</v>
      </c>
    </row>
    <row r="31" customFormat="false" ht="15" hidden="false" customHeight="false" outlineLevel="0" collapsed="false">
      <c r="A31" s="15" t="s">
        <v>144</v>
      </c>
      <c r="B31" s="30" t="n">
        <f aca="false">SUMIF(Irregulares!$D$6:$D$25,4,Irregulares!$C$6:$C$25)</f>
        <v>0</v>
      </c>
      <c r="C31" s="28"/>
      <c r="D31" s="25" t="n">
        <f aca="false">IF(AND(B31="",C31=""),"",N(C31)-N(B31))</f>
        <v>0</v>
      </c>
      <c r="E31" s="2" t="s">
        <v>145</v>
      </c>
    </row>
    <row r="33" customFormat="false" ht="15" hidden="false" customHeight="false" outlineLevel="0" collapsed="false">
      <c r="A33" s="31" t="s">
        <v>146</v>
      </c>
      <c r="B33" s="32" t="n">
        <f aca="false">B8-B19-B27-N(B30)</f>
        <v>2000</v>
      </c>
      <c r="C33" s="32" t="str">
        <f aca="false">IF(N(C8)=0,"",C8-C19-C27-N(C30))</f>
        <v/>
      </c>
      <c r="D33" s="32" t="n">
        <f aca="false">N(C33)-N(B33)</f>
        <v>-2000</v>
      </c>
      <c r="E33" s="33"/>
    </row>
    <row r="35" customFormat="false" ht="15" hidden="false" customHeight="false" outlineLevel="0" collapsed="false">
      <c r="A35" s="13" t="s">
        <v>147</v>
      </c>
      <c r="B35" s="14"/>
      <c r="C35" s="14"/>
      <c r="D35" s="14"/>
      <c r="E35" s="14"/>
    </row>
    <row r="36" customFormat="false" ht="15" hidden="false" customHeight="false" outlineLevel="0" collapsed="false">
      <c r="A36" s="15" t="str">
        <f aca="false">Categorias!$C$17</f>
        <v>Restaurantes e delivery</v>
      </c>
      <c r="B36" s="30" t="n">
        <f aca="false">Mar!B36</f>
        <v>150</v>
      </c>
      <c r="C36" s="28"/>
      <c r="D36" s="25" t="n">
        <f aca="false">IF(AND(B36="",C36=""),"",N(C36)-N(B36))</f>
        <v>-150</v>
      </c>
      <c r="E36" s="5"/>
    </row>
    <row r="37" customFormat="false" ht="15" hidden="false" customHeight="false" outlineLevel="0" collapsed="false">
      <c r="A37" s="15" t="str">
        <f aca="false">Categorias!$C$18</f>
        <v>Lazer e passeios</v>
      </c>
      <c r="B37" s="30" t="n">
        <f aca="false">Mar!B37</f>
        <v>120</v>
      </c>
      <c r="C37" s="28"/>
      <c r="D37" s="25" t="n">
        <f aca="false">IF(AND(B37="",C37=""),"",N(C37)-N(B37))</f>
        <v>-120</v>
      </c>
      <c r="E37" s="5"/>
    </row>
    <row r="38" customFormat="false" ht="15" hidden="false" customHeight="false" outlineLevel="0" collapsed="false">
      <c r="A38" s="15" t="str">
        <f aca="false">Categorias!$C$19</f>
        <v>Compras (roupas, eletrônicos, casa)</v>
      </c>
      <c r="B38" s="30" t="n">
        <f aca="false">Mar!B38</f>
        <v>80</v>
      </c>
      <c r="C38" s="28"/>
      <c r="D38" s="25" t="n">
        <f aca="false">IF(AND(B38="",C38=""),"",N(C38)-N(B38))</f>
        <v>-80</v>
      </c>
      <c r="E38" s="5"/>
    </row>
    <row r="39" customFormat="false" ht="15" hidden="false" customHeight="false" outlineLevel="0" collapsed="false">
      <c r="A39" s="15" t="str">
        <f aca="false">Categorias!$C$20</f>
        <v>Assinaturas e aplicativos</v>
      </c>
      <c r="B39" s="30" t="n">
        <f aca="false">Mar!B39</f>
        <v>50</v>
      </c>
      <c r="C39" s="28"/>
      <c r="D39" s="25" t="n">
        <f aca="false">IF(AND(B39="",C39=""),"",N(C39)-N(B39))</f>
        <v>-50</v>
      </c>
      <c r="E39" s="5"/>
    </row>
    <row r="40" customFormat="false" ht="15" hidden="false" customHeight="false" outlineLevel="0" collapsed="false">
      <c r="A40" s="15" t="str">
        <f aca="false">Categorias!$C$21</f>
        <v>Cuidados pessoais</v>
      </c>
      <c r="B40" s="30" t="n">
        <f aca="false">Mar!B40</f>
        <v>0</v>
      </c>
      <c r="C40" s="28"/>
      <c r="D40" s="25" t="n">
        <f aca="false">IF(AND(B40="",C40=""),"",N(C40)-N(B40))</f>
        <v>0</v>
      </c>
      <c r="E40" s="5"/>
    </row>
    <row r="41" customFormat="false" ht="15" hidden="false" customHeight="false" outlineLevel="0" collapsed="false">
      <c r="A41" s="15" t="str">
        <f aca="false">Categorias!$C$22</f>
        <v>Presentes e outros</v>
      </c>
      <c r="B41" s="30" t="n">
        <f aca="false">Mar!B41</f>
        <v>0</v>
      </c>
      <c r="C41" s="28"/>
      <c r="D41" s="25" t="n">
        <f aca="false">IF(AND(B41="",C41=""),"",N(C41)-N(B41))</f>
        <v>0</v>
      </c>
      <c r="E41" s="5"/>
    </row>
    <row r="42" customFormat="false" ht="15" hidden="false" customHeight="false" outlineLevel="0" collapsed="false">
      <c r="A42" s="19" t="s">
        <v>148</v>
      </c>
      <c r="B42" s="20" t="n">
        <f aca="false">SUM(B36:B41)</f>
        <v>400</v>
      </c>
      <c r="C42" s="20" t="n">
        <f aca="false">SUM(C36:C41)</f>
        <v>0</v>
      </c>
      <c r="D42" s="20" t="n">
        <f aca="false">N(C42)-N(B42)</f>
        <v>-400</v>
      </c>
      <c r="E42" s="29"/>
    </row>
    <row r="43" customFormat="false" ht="15" hidden="false" customHeight="false" outlineLevel="0" collapsed="false">
      <c r="A43" s="31" t="s">
        <v>149</v>
      </c>
      <c r="B43" s="32" t="n">
        <f aca="false">N(B33)-B42</f>
        <v>1600</v>
      </c>
      <c r="C43" s="32" t="str">
        <f aca="false">IF(N(C8)=0,"",N(C33)-C42)</f>
        <v/>
      </c>
      <c r="D43" s="32" t="n">
        <f aca="false">N(C43)-N(B43)</f>
        <v>-1600</v>
      </c>
      <c r="E43" s="33"/>
    </row>
    <row r="45" customFormat="false" ht="15" hidden="false" customHeight="false" outlineLevel="0" collapsed="false">
      <c r="A45" s="13" t="s">
        <v>150</v>
      </c>
      <c r="B45" s="14"/>
      <c r="C45" s="14"/>
      <c r="D45" s="14"/>
      <c r="E45" s="14"/>
    </row>
    <row r="46" customFormat="false" ht="15" hidden="false" customHeight="false" outlineLevel="0" collapsed="false">
      <c r="A46" s="15" t="s">
        <v>151</v>
      </c>
      <c r="B46" s="30" t="n">
        <f aca="false">Mar!B46</f>
        <v>0</v>
      </c>
      <c r="C46" s="28"/>
      <c r="D46" s="25" t="n">
        <f aca="false">IF(AND(B46="",C46=""),"",N(C46)-N(B46))</f>
        <v>0</v>
      </c>
      <c r="E46" s="5"/>
    </row>
    <row r="47" customFormat="false" ht="15" hidden="false" customHeight="false" outlineLevel="0" collapsed="false">
      <c r="A47" s="15" t="s">
        <v>34</v>
      </c>
      <c r="B47" s="30" t="n">
        <f aca="false">Mar!B47</f>
        <v>1000</v>
      </c>
      <c r="C47" s="28"/>
      <c r="D47" s="25" t="n">
        <f aca="false">IF(AND(B47="",C47=""),"",N(C47)-N(B47))</f>
        <v>-1000</v>
      </c>
      <c r="E47" s="5"/>
    </row>
    <row r="48" customFormat="false" ht="15" hidden="false" customHeight="false" outlineLevel="0" collapsed="false">
      <c r="A48" s="15" t="s">
        <v>152</v>
      </c>
      <c r="B48" s="30" t="n">
        <f aca="false">Mar!B48</f>
        <v>120</v>
      </c>
      <c r="C48" s="28"/>
      <c r="D48" s="25" t="n">
        <f aca="false">IF(AND(B48="",C48=""),"",N(C48)-N(B48))</f>
        <v>-120</v>
      </c>
      <c r="E48" s="5"/>
    </row>
    <row r="49" customFormat="false" ht="15" hidden="false" customHeight="false" outlineLevel="0" collapsed="false">
      <c r="A49" s="15" t="str">
        <f aca="false">IF(Metas!$B$6="","Meta 1 (aba Metas)","Meta 1: "&amp;Metas!$B$6)</f>
        <v>Meta 1: Entrada do apartamento</v>
      </c>
      <c r="B49" s="30" t="n">
        <f aca="false">Mar!B49</f>
        <v>480</v>
      </c>
      <c r="C49" s="28"/>
      <c r="D49" s="25" t="n">
        <f aca="false">IF(AND(B49="",C49=""),"",N(C49)-N(B49))</f>
        <v>-480</v>
      </c>
      <c r="E49" s="5"/>
    </row>
    <row r="50" customFormat="false" ht="15" hidden="false" customHeight="false" outlineLevel="0" collapsed="false">
      <c r="A50" s="15" t="str">
        <f aca="false">IF(Metas!$B$7="","Meta 2 (aba Metas)","Meta 2: "&amp;Metas!$B$7)</f>
        <v>Meta 2: Faculdade do filho</v>
      </c>
      <c r="B50" s="30" t="n">
        <f aca="false">Mar!B50</f>
        <v>0</v>
      </c>
      <c r="C50" s="28"/>
      <c r="D50" s="25" t="n">
        <f aca="false">IF(AND(B50="",C50=""),"",N(C50)-N(B50))</f>
        <v>0</v>
      </c>
      <c r="E50" s="5"/>
    </row>
    <row r="51" customFormat="false" ht="15" hidden="false" customHeight="false" outlineLevel="0" collapsed="false">
      <c r="A51" s="15" t="str">
        <f aca="false">IF(Metas!$B$8="","Meta 3 (aba Metas)","Meta 3: "&amp;Metas!$B$8)</f>
        <v>Meta 3 (aba Metas)</v>
      </c>
      <c r="B51" s="30" t="n">
        <f aca="false">Mar!B51</f>
        <v>0</v>
      </c>
      <c r="C51" s="28"/>
      <c r="D51" s="25" t="n">
        <f aca="false">IF(AND(B51="",C51=""),"",N(C51)-N(B51))</f>
        <v>0</v>
      </c>
      <c r="E51" s="5"/>
    </row>
    <row r="52" customFormat="false" ht="15" hidden="false" customHeight="false" outlineLevel="0" collapsed="false">
      <c r="A52" s="15" t="str">
        <f aca="false">IF(Metas!$B$9="","Meta 4 (aba Metas)","Meta 4: "&amp;Metas!$B$9)</f>
        <v>Meta 4 (aba Metas)</v>
      </c>
      <c r="B52" s="30" t="n">
        <f aca="false">Mar!B52</f>
        <v>0</v>
      </c>
      <c r="C52" s="28"/>
      <c r="D52" s="25" t="n">
        <f aca="false">IF(AND(B52="",C52=""),"",N(C52)-N(B52))</f>
        <v>0</v>
      </c>
      <c r="E52" s="5"/>
    </row>
    <row r="53" customFormat="false" ht="15" hidden="false" customHeight="false" outlineLevel="0" collapsed="false">
      <c r="A53" s="15" t="str">
        <f aca="false">IF(Metas!$B$10="","Meta 5 (aba Metas)","Meta 5: "&amp;Metas!$B$10)</f>
        <v>Meta 5 (aba Metas)</v>
      </c>
      <c r="B53" s="30" t="n">
        <f aca="false">Mar!B53</f>
        <v>0</v>
      </c>
      <c r="C53" s="28"/>
      <c r="D53" s="25" t="n">
        <f aca="false">IF(AND(B53="",C53=""),"",N(C53)-N(B53))</f>
        <v>0</v>
      </c>
      <c r="E53" s="5"/>
    </row>
    <row r="54" customFormat="false" ht="15" hidden="false" customHeight="false" outlineLevel="0" collapsed="false">
      <c r="A54" s="15" t="s">
        <v>153</v>
      </c>
      <c r="B54" s="30" t="n">
        <f aca="false">Mar!B54</f>
        <v>0</v>
      </c>
      <c r="C54" s="28"/>
      <c r="D54" s="25" t="n">
        <f aca="false">IF(AND(B54="",C54=""),"",N(C54)-N(B54))</f>
        <v>0</v>
      </c>
      <c r="E54" s="5"/>
    </row>
    <row r="55" customFormat="false" ht="15" hidden="false" customHeight="false" outlineLevel="0" collapsed="false">
      <c r="A55" s="19" t="s">
        <v>119</v>
      </c>
      <c r="B55" s="20" t="n">
        <f aca="false">SUM(B46:B54)</f>
        <v>1600</v>
      </c>
      <c r="C55" s="20" t="n">
        <f aca="false">SUM(C46:C54)</f>
        <v>0</v>
      </c>
      <c r="D55" s="20" t="n">
        <f aca="false">N(C55)-N(B55)</f>
        <v>-1600</v>
      </c>
      <c r="E55" s="29"/>
    </row>
    <row r="57" customFormat="false" ht="15" hidden="false" customHeight="false" outlineLevel="0" collapsed="false">
      <c r="A57" s="31" t="s">
        <v>154</v>
      </c>
      <c r="B57" s="32" t="n">
        <f aca="false">N(B43)-B55+N(B9)</f>
        <v>0</v>
      </c>
      <c r="C57" s="32" t="str">
        <f aca="false">IF(N(C8)=0,"",N(C43)-C55+N(C9))</f>
        <v/>
      </c>
      <c r="D57" s="32" t="n">
        <f aca="false">N(C57)-N(B57)</f>
        <v>0</v>
      </c>
      <c r="E57" s="34" t="s">
        <v>155</v>
      </c>
    </row>
    <row r="59" customFormat="false" ht="15" hidden="false" customHeight="false" outlineLevel="0" collapsed="false">
      <c r="A59" s="13" t="s">
        <v>156</v>
      </c>
      <c r="B59" s="14"/>
      <c r="C59" s="14"/>
      <c r="D59" s="14"/>
      <c r="E59" s="14"/>
    </row>
    <row r="60" customFormat="false" ht="15" hidden="false" customHeight="false" outlineLevel="0" collapsed="false">
      <c r="A60" s="15" t="s">
        <v>126</v>
      </c>
      <c r="C60" s="27" t="n">
        <f aca="false">IFERROR((C55-N(C48))/C10,0)</f>
        <v>0</v>
      </c>
    </row>
    <row r="61" customFormat="false" ht="15" hidden="false" customHeight="false" outlineLevel="0" collapsed="false">
      <c r="A61" s="15" t="s">
        <v>157</v>
      </c>
      <c r="C61" s="27" t="n">
        <f aca="false">IFERROR((C19+C27+N(C30))/C8,0)</f>
        <v>0</v>
      </c>
    </row>
    <row r="62" customFormat="false" ht="15" hidden="false" customHeight="false" outlineLevel="0" collapsed="false">
      <c r="A62" s="15" t="s">
        <v>158</v>
      </c>
      <c r="C62" s="27" t="n">
        <f aca="false">IFERROR(C42/C8,0)</f>
        <v>0</v>
      </c>
    </row>
    <row r="63" customFormat="false" ht="15" hidden="false" customHeight="false" outlineLevel="0" collapsed="false">
      <c r="A63" s="15" t="s">
        <v>159</v>
      </c>
      <c r="C63" s="27" t="n">
        <f aca="false">IFERROR(C55/C8,0)</f>
        <v>0</v>
      </c>
    </row>
    <row r="64" customFormat="false" ht="15" hidden="false" customHeight="false" outlineLevel="0" collapsed="false">
      <c r="A64" s="2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A1:E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tr">
        <f aca="false">"Orçamento de maio de "&amp;Início!$C$5</f>
        <v>Orçamento de maio de 2026</v>
      </c>
    </row>
    <row r="2" customFormat="false" ht="15" hidden="false" customHeight="false" outlineLevel="0" collapsed="false">
      <c r="A2" s="2" t="s">
        <v>164</v>
      </c>
    </row>
    <row r="3" customFormat="false" ht="15" hidden="false" customHeight="false" outlineLevel="0" collapsed="false">
      <c r="A3" s="22" t="s">
        <v>130</v>
      </c>
      <c r="B3" s="22" t="s">
        <v>131</v>
      </c>
      <c r="C3" s="22" t="s">
        <v>132</v>
      </c>
      <c r="D3" s="22" t="s">
        <v>133</v>
      </c>
      <c r="E3" s="22" t="s">
        <v>134</v>
      </c>
    </row>
    <row r="4" customFormat="false" ht="15" hidden="false" customHeight="false" outlineLevel="0" collapsed="false">
      <c r="A4" s="13" t="s">
        <v>135</v>
      </c>
      <c r="B4" s="14"/>
      <c r="C4" s="14"/>
      <c r="D4" s="14"/>
      <c r="E4" s="14"/>
    </row>
    <row r="5" customFormat="false" ht="15" hidden="false" customHeight="false" outlineLevel="0" collapsed="false">
      <c r="A5" s="15" t="str">
        <f aca="false">"Renda líquida de "&amp;Início!$C$6</f>
        <v>Renda líquida de Paula</v>
      </c>
      <c r="B5" s="30" t="n">
        <f aca="false">Abr!B5</f>
        <v>4500</v>
      </c>
      <c r="C5" s="28"/>
      <c r="D5" s="25" t="n">
        <f aca="false">IF(AND(B5="",C5=""),"",N(C5)-N(B5))</f>
        <v>-4500</v>
      </c>
      <c r="E5" s="5"/>
    </row>
    <row r="6" customFormat="false" ht="15" hidden="false" customHeight="false" outlineLevel="0" collapsed="false">
      <c r="A6" s="15" t="str">
        <f aca="false">"Renda líquida de "&amp;Início!$C$7</f>
        <v>Renda líquida de Marcos</v>
      </c>
      <c r="B6" s="30" t="n">
        <f aca="false">Abr!B6</f>
        <v>3500</v>
      </c>
      <c r="C6" s="28"/>
      <c r="D6" s="25" t="n">
        <f aca="false">IF(AND(B6="",C6=""),"",N(C6)-N(B6))</f>
        <v>-3500</v>
      </c>
      <c r="E6" s="5"/>
    </row>
    <row r="7" customFormat="false" ht="15" hidden="false" customHeight="false" outlineLevel="0" collapsed="false">
      <c r="A7" s="15" t="s">
        <v>136</v>
      </c>
      <c r="B7" s="30" t="n">
        <f aca="false">Abr!B7</f>
        <v>0</v>
      </c>
      <c r="C7" s="28"/>
      <c r="D7" s="25" t="str">
        <f aca="false">IF(AND(B7="",C7=""),"",N(C7)-N(B7))</f>
        <v/>
      </c>
      <c r="E7" s="5"/>
    </row>
    <row r="8" customFormat="false" ht="15" hidden="false" customHeight="false" outlineLevel="0" collapsed="false">
      <c r="A8" s="19" t="s">
        <v>110</v>
      </c>
      <c r="B8" s="20" t="n">
        <f aca="false">SUM(B5:B7)</f>
        <v>8000</v>
      </c>
      <c r="C8" s="20" t="n">
        <f aca="false">SUM(C5:C7)</f>
        <v>0</v>
      </c>
      <c r="D8" s="20" t="n">
        <f aca="false">N(C8)-N(B8)</f>
        <v>-8000</v>
      </c>
      <c r="E8" s="29"/>
    </row>
    <row r="9" customFormat="false" ht="15" hidden="false" customHeight="false" outlineLevel="0" collapsed="false">
      <c r="A9" s="15" t="s">
        <v>137</v>
      </c>
      <c r="B9" s="30" t="n">
        <f aca="false">Abr!B9</f>
        <v>0</v>
      </c>
      <c r="C9" s="28"/>
      <c r="D9" s="25" t="str">
        <f aca="false">IF(AND(B9="",C9=""),"",N(C9)-N(B9))</f>
        <v/>
      </c>
      <c r="E9" s="5"/>
    </row>
    <row r="10" customFormat="false" ht="15" hidden="false" customHeight="false" outlineLevel="0" collapsed="false">
      <c r="A10" s="19" t="s">
        <v>111</v>
      </c>
      <c r="B10" s="20" t="n">
        <f aca="false">B8+N(B9)</f>
        <v>8000</v>
      </c>
      <c r="C10" s="20" t="n">
        <f aca="false">C8+N(C9)</f>
        <v>0</v>
      </c>
      <c r="D10" s="20" t="n">
        <f aca="false">N(C10)-N(B10)</f>
        <v>-8000</v>
      </c>
      <c r="E10" s="29"/>
    </row>
    <row r="12" customFormat="false" ht="15" hidden="false" customHeight="false" outlineLevel="0" collapsed="false">
      <c r="A12" s="13" t="s">
        <v>138</v>
      </c>
      <c r="B12" s="14"/>
      <c r="C12" s="14"/>
      <c r="D12" s="14"/>
      <c r="E12" s="14"/>
    </row>
    <row r="13" customFormat="false" ht="15" hidden="false" customHeight="false" outlineLevel="0" collapsed="false">
      <c r="A13" s="15" t="str">
        <f aca="false">Categorias!$C$6</f>
        <v>Moradia (aluguel ou prestação, condomínio)</v>
      </c>
      <c r="B13" s="30" t="n">
        <f aca="false">Abr!B13</f>
        <v>2000</v>
      </c>
      <c r="C13" s="28"/>
      <c r="D13" s="25" t="n">
        <f aca="false">IF(AND(B13="",C13=""),"",N(C13)-N(B13))</f>
        <v>-2000</v>
      </c>
      <c r="E13" s="5"/>
    </row>
    <row r="14" customFormat="false" ht="15" hidden="false" customHeight="false" outlineLevel="0" collapsed="false">
      <c r="A14" s="15" t="str">
        <f aca="false">Categorias!$C$7</f>
        <v>Contas da casa (luz, água, gás, internet, celular)</v>
      </c>
      <c r="B14" s="30" t="n">
        <f aca="false">Abr!B14</f>
        <v>450</v>
      </c>
      <c r="C14" s="28"/>
      <c r="D14" s="25" t="n">
        <f aca="false">IF(AND(B14="",C14=""),"",N(C14)-N(B14))</f>
        <v>-450</v>
      </c>
      <c r="E14" s="5"/>
    </row>
    <row r="15" customFormat="false" ht="15" hidden="false" customHeight="false" outlineLevel="0" collapsed="false">
      <c r="A15" s="15" t="str">
        <f aca="false">Categorias!$C$8</f>
        <v>Alimentação (supermercado e feira)</v>
      </c>
      <c r="B15" s="30" t="n">
        <f aca="false">Abr!B15</f>
        <v>1150</v>
      </c>
      <c r="C15" s="28"/>
      <c r="D15" s="25" t="n">
        <f aca="false">IF(AND(B15="",C15=""),"",N(C15)-N(B15))</f>
        <v>-1150</v>
      </c>
      <c r="E15" s="5"/>
    </row>
    <row r="16" customFormat="false" ht="15" hidden="false" customHeight="false" outlineLevel="0" collapsed="false">
      <c r="A16" s="15" t="str">
        <f aca="false">Categorias!$C$9</f>
        <v>Transporte (combustível, transporte público, aplicativo)</v>
      </c>
      <c r="B16" s="30" t="n">
        <f aca="false">Abr!B16</f>
        <v>350</v>
      </c>
      <c r="C16" s="28"/>
      <c r="D16" s="25" t="n">
        <f aca="false">IF(AND(B16="",C16=""),"",N(C16)-N(B16))</f>
        <v>-350</v>
      </c>
      <c r="E16" s="5"/>
    </row>
    <row r="17" customFormat="false" ht="15" hidden="false" customHeight="false" outlineLevel="0" collapsed="false">
      <c r="A17" s="15" t="str">
        <f aca="false">Categorias!$C$10</f>
        <v>Saúde (plano, farmácia, consultas)</v>
      </c>
      <c r="B17" s="30" t="n">
        <f aca="false">Abr!B17</f>
        <v>250</v>
      </c>
      <c r="C17" s="28"/>
      <c r="D17" s="25" t="n">
        <f aca="false">IF(AND(B17="",C17=""),"",N(C17)-N(B17))</f>
        <v>-250</v>
      </c>
      <c r="E17" s="5"/>
    </row>
    <row r="18" customFormat="false" ht="15" hidden="false" customHeight="false" outlineLevel="0" collapsed="false">
      <c r="A18" s="15" t="str">
        <f aca="false">Categorias!$C$11</f>
        <v>Outros essenciais</v>
      </c>
      <c r="B18" s="30" t="n">
        <f aca="false">Abr!B18</f>
        <v>0</v>
      </c>
      <c r="C18" s="28"/>
      <c r="D18" s="25" t="n">
        <f aca="false">IF(AND(B18="",C18=""),"",N(C18)-N(B18))</f>
        <v>0</v>
      </c>
      <c r="E18" s="5"/>
    </row>
    <row r="19" customFormat="false" ht="15" hidden="false" customHeight="false" outlineLevel="0" collapsed="false">
      <c r="A19" s="19" t="s">
        <v>139</v>
      </c>
      <c r="B19" s="20" t="n">
        <f aca="false">SUM(B13:B18)</f>
        <v>4200</v>
      </c>
      <c r="C19" s="20" t="n">
        <f aca="false">SUM(C13:C18)</f>
        <v>0</v>
      </c>
      <c r="D19" s="20" t="n">
        <f aca="false">N(C19)-N(B19)</f>
        <v>-4200</v>
      </c>
      <c r="E19" s="29"/>
    </row>
    <row r="21" customFormat="false" ht="15" hidden="false" customHeight="false" outlineLevel="0" collapsed="false">
      <c r="A21" s="13" t="s">
        <v>140</v>
      </c>
      <c r="B21" s="14"/>
      <c r="C21" s="14"/>
      <c r="D21" s="14"/>
      <c r="E21" s="14"/>
    </row>
    <row r="22" customFormat="false" ht="15" hidden="false" customHeight="false" outlineLevel="0" collapsed="false">
      <c r="A22" s="15" t="str">
        <f aca="false">Categorias!$C$12</f>
        <v>Financiamento ou empréstimo</v>
      </c>
      <c r="B22" s="30" t="n">
        <f aca="false">Abr!B22</f>
        <v>0</v>
      </c>
      <c r="C22" s="28"/>
      <c r="D22" s="25" t="n">
        <f aca="false">IF(AND(B22="",C22=""),"",N(C22)-N(B22))</f>
        <v>0</v>
      </c>
      <c r="E22" s="5"/>
    </row>
    <row r="23" customFormat="false" ht="15" hidden="false" customHeight="false" outlineLevel="0" collapsed="false">
      <c r="A23" s="15" t="str">
        <f aca="false">Categorias!$C$13</f>
        <v>Parcela do carro</v>
      </c>
      <c r="B23" s="30" t="n">
        <f aca="false">Abr!B23</f>
        <v>900</v>
      </c>
      <c r="C23" s="28"/>
      <c r="D23" s="25" t="n">
        <f aca="false">IF(AND(B23="",C23=""),"",N(C23)-N(B23))</f>
        <v>-900</v>
      </c>
      <c r="E23" s="5"/>
    </row>
    <row r="24" customFormat="false" ht="15" hidden="false" customHeight="false" outlineLevel="0" collapsed="false">
      <c r="A24" s="15" t="str">
        <f aca="false">Categorias!$C$14</f>
        <v>Escola, faculdade e cursos</v>
      </c>
      <c r="B24" s="30" t="n">
        <f aca="false">Abr!B24</f>
        <v>400</v>
      </c>
      <c r="C24" s="28"/>
      <c r="D24" s="25" t="n">
        <f aca="false">IF(AND(B24="",C24=""),"",N(C24)-N(B24))</f>
        <v>-400</v>
      </c>
      <c r="E24" s="5"/>
    </row>
    <row r="25" customFormat="false" ht="15" hidden="false" customHeight="false" outlineLevel="0" collapsed="false">
      <c r="A25" s="15" t="str">
        <f aca="false">Categorias!$C$15</f>
        <v>Seguros mensais</v>
      </c>
      <c r="B25" s="30" t="n">
        <f aca="false">Abr!B25</f>
        <v>0</v>
      </c>
      <c r="C25" s="28"/>
      <c r="D25" s="25" t="n">
        <f aca="false">IF(AND(B25="",C25=""),"",N(C25)-N(B25))</f>
        <v>0</v>
      </c>
      <c r="E25" s="5"/>
    </row>
    <row r="26" customFormat="false" ht="15" hidden="false" customHeight="false" outlineLevel="0" collapsed="false">
      <c r="A26" s="15" t="str">
        <f aca="false">Categorias!$C$16</f>
        <v>Outras parcelas e mensalidades</v>
      </c>
      <c r="B26" s="30" t="n">
        <f aca="false">Abr!B26</f>
        <v>0</v>
      </c>
      <c r="C26" s="28"/>
      <c r="D26" s="25" t="n">
        <f aca="false">IF(AND(B26="",C26=""),"",N(C26)-N(B26))</f>
        <v>0</v>
      </c>
      <c r="E26" s="5"/>
    </row>
    <row r="27" customFormat="false" ht="15" hidden="false" customHeight="false" outlineLevel="0" collapsed="false">
      <c r="A27" s="19" t="s">
        <v>141</v>
      </c>
      <c r="B27" s="20" t="n">
        <f aca="false">SUM(B22:B26)</f>
        <v>1300</v>
      </c>
      <c r="C27" s="20" t="n">
        <f aca="false">SUM(C22:C26)</f>
        <v>0</v>
      </c>
      <c r="D27" s="20" t="n">
        <f aca="false">N(C27)-N(B27)</f>
        <v>-1300</v>
      </c>
      <c r="E27" s="29"/>
    </row>
    <row r="29" customFormat="false" ht="15" hidden="false" customHeight="false" outlineLevel="0" collapsed="false">
      <c r="A29" s="13" t="s">
        <v>142</v>
      </c>
      <c r="B29" s="14"/>
      <c r="C29" s="14"/>
      <c r="D29" s="14"/>
      <c r="E29" s="14"/>
    </row>
    <row r="30" customFormat="false" ht="15" hidden="false" customHeight="false" outlineLevel="0" collapsed="false">
      <c r="A30" s="15" t="s">
        <v>143</v>
      </c>
      <c r="B30" s="30" t="n">
        <f aca="false">Irregulares!$C$28</f>
        <v>500</v>
      </c>
      <c r="C30" s="30" t="str">
        <f aca="false">IF(N(C8)=0,"",Irregulares!$C$28)</f>
        <v/>
      </c>
      <c r="D30" s="25" t="n">
        <f aca="false">N(C30)-N(B30)</f>
        <v>-500</v>
      </c>
    </row>
    <row r="31" customFormat="false" ht="15" hidden="false" customHeight="false" outlineLevel="0" collapsed="false">
      <c r="A31" s="15" t="s">
        <v>144</v>
      </c>
      <c r="B31" s="30" t="n">
        <f aca="false">SUMIF(Irregulares!$D$6:$D$25,5,Irregulares!$C$6:$C$25)</f>
        <v>0</v>
      </c>
      <c r="C31" s="28"/>
      <c r="D31" s="25" t="n">
        <f aca="false">IF(AND(B31="",C31=""),"",N(C31)-N(B31))</f>
        <v>0</v>
      </c>
      <c r="E31" s="2" t="s">
        <v>145</v>
      </c>
    </row>
    <row r="33" customFormat="false" ht="15" hidden="false" customHeight="false" outlineLevel="0" collapsed="false">
      <c r="A33" s="31" t="s">
        <v>146</v>
      </c>
      <c r="B33" s="32" t="n">
        <f aca="false">B8-B19-B27-N(B30)</f>
        <v>2000</v>
      </c>
      <c r="C33" s="32" t="str">
        <f aca="false">IF(N(C8)=0,"",C8-C19-C27-N(C30))</f>
        <v/>
      </c>
      <c r="D33" s="32" t="n">
        <f aca="false">N(C33)-N(B33)</f>
        <v>-2000</v>
      </c>
      <c r="E33" s="33"/>
    </row>
    <row r="35" customFormat="false" ht="15" hidden="false" customHeight="false" outlineLevel="0" collapsed="false">
      <c r="A35" s="13" t="s">
        <v>147</v>
      </c>
      <c r="B35" s="14"/>
      <c r="C35" s="14"/>
      <c r="D35" s="14"/>
      <c r="E35" s="14"/>
    </row>
    <row r="36" customFormat="false" ht="15" hidden="false" customHeight="false" outlineLevel="0" collapsed="false">
      <c r="A36" s="15" t="str">
        <f aca="false">Categorias!$C$17</f>
        <v>Restaurantes e delivery</v>
      </c>
      <c r="B36" s="30" t="n">
        <f aca="false">Abr!B36</f>
        <v>150</v>
      </c>
      <c r="C36" s="28"/>
      <c r="D36" s="25" t="n">
        <f aca="false">IF(AND(B36="",C36=""),"",N(C36)-N(B36))</f>
        <v>-150</v>
      </c>
      <c r="E36" s="5"/>
    </row>
    <row r="37" customFormat="false" ht="15" hidden="false" customHeight="false" outlineLevel="0" collapsed="false">
      <c r="A37" s="15" t="str">
        <f aca="false">Categorias!$C$18</f>
        <v>Lazer e passeios</v>
      </c>
      <c r="B37" s="30" t="n">
        <f aca="false">Abr!B37</f>
        <v>120</v>
      </c>
      <c r="C37" s="28"/>
      <c r="D37" s="25" t="n">
        <f aca="false">IF(AND(B37="",C37=""),"",N(C37)-N(B37))</f>
        <v>-120</v>
      </c>
      <c r="E37" s="5"/>
    </row>
    <row r="38" customFormat="false" ht="15" hidden="false" customHeight="false" outlineLevel="0" collapsed="false">
      <c r="A38" s="15" t="str">
        <f aca="false">Categorias!$C$19</f>
        <v>Compras (roupas, eletrônicos, casa)</v>
      </c>
      <c r="B38" s="30" t="n">
        <f aca="false">Abr!B38</f>
        <v>80</v>
      </c>
      <c r="C38" s="28"/>
      <c r="D38" s="25" t="n">
        <f aca="false">IF(AND(B38="",C38=""),"",N(C38)-N(B38))</f>
        <v>-80</v>
      </c>
      <c r="E38" s="5"/>
    </row>
    <row r="39" customFormat="false" ht="15" hidden="false" customHeight="false" outlineLevel="0" collapsed="false">
      <c r="A39" s="15" t="str">
        <f aca="false">Categorias!$C$20</f>
        <v>Assinaturas e aplicativos</v>
      </c>
      <c r="B39" s="30" t="n">
        <f aca="false">Abr!B39</f>
        <v>50</v>
      </c>
      <c r="C39" s="28"/>
      <c r="D39" s="25" t="n">
        <f aca="false">IF(AND(B39="",C39=""),"",N(C39)-N(B39))</f>
        <v>-50</v>
      </c>
      <c r="E39" s="5"/>
    </row>
    <row r="40" customFormat="false" ht="15" hidden="false" customHeight="false" outlineLevel="0" collapsed="false">
      <c r="A40" s="15" t="str">
        <f aca="false">Categorias!$C$21</f>
        <v>Cuidados pessoais</v>
      </c>
      <c r="B40" s="30" t="n">
        <f aca="false">Abr!B40</f>
        <v>0</v>
      </c>
      <c r="C40" s="28"/>
      <c r="D40" s="25" t="n">
        <f aca="false">IF(AND(B40="",C40=""),"",N(C40)-N(B40))</f>
        <v>0</v>
      </c>
      <c r="E40" s="5"/>
    </row>
    <row r="41" customFormat="false" ht="15" hidden="false" customHeight="false" outlineLevel="0" collapsed="false">
      <c r="A41" s="15" t="str">
        <f aca="false">Categorias!$C$22</f>
        <v>Presentes e outros</v>
      </c>
      <c r="B41" s="30" t="n">
        <f aca="false">Abr!B41</f>
        <v>0</v>
      </c>
      <c r="C41" s="28"/>
      <c r="D41" s="25" t="n">
        <f aca="false">IF(AND(B41="",C41=""),"",N(C41)-N(B41))</f>
        <v>0</v>
      </c>
      <c r="E41" s="5"/>
    </row>
    <row r="42" customFormat="false" ht="15" hidden="false" customHeight="false" outlineLevel="0" collapsed="false">
      <c r="A42" s="19" t="s">
        <v>148</v>
      </c>
      <c r="B42" s="20" t="n">
        <f aca="false">SUM(B36:B41)</f>
        <v>400</v>
      </c>
      <c r="C42" s="20" t="n">
        <f aca="false">SUM(C36:C41)</f>
        <v>0</v>
      </c>
      <c r="D42" s="20" t="n">
        <f aca="false">N(C42)-N(B42)</f>
        <v>-400</v>
      </c>
      <c r="E42" s="29"/>
    </row>
    <row r="43" customFormat="false" ht="15" hidden="false" customHeight="false" outlineLevel="0" collapsed="false">
      <c r="A43" s="31" t="s">
        <v>149</v>
      </c>
      <c r="B43" s="32" t="n">
        <f aca="false">N(B33)-B42</f>
        <v>1600</v>
      </c>
      <c r="C43" s="32" t="str">
        <f aca="false">IF(N(C8)=0,"",N(C33)-C42)</f>
        <v/>
      </c>
      <c r="D43" s="32" t="n">
        <f aca="false">N(C43)-N(B43)</f>
        <v>-1600</v>
      </c>
      <c r="E43" s="33"/>
    </row>
    <row r="45" customFormat="false" ht="15" hidden="false" customHeight="false" outlineLevel="0" collapsed="false">
      <c r="A45" s="13" t="s">
        <v>150</v>
      </c>
      <c r="B45" s="14"/>
      <c r="C45" s="14"/>
      <c r="D45" s="14"/>
      <c r="E45" s="14"/>
    </row>
    <row r="46" customFormat="false" ht="15" hidden="false" customHeight="false" outlineLevel="0" collapsed="false">
      <c r="A46" s="15" t="s">
        <v>151</v>
      </c>
      <c r="B46" s="30" t="n">
        <f aca="false">Abr!B46</f>
        <v>0</v>
      </c>
      <c r="C46" s="28"/>
      <c r="D46" s="25" t="n">
        <f aca="false">IF(AND(B46="",C46=""),"",N(C46)-N(B46))</f>
        <v>0</v>
      </c>
      <c r="E46" s="5"/>
    </row>
    <row r="47" customFormat="false" ht="15" hidden="false" customHeight="false" outlineLevel="0" collapsed="false">
      <c r="A47" s="15" t="s">
        <v>34</v>
      </c>
      <c r="B47" s="30" t="n">
        <f aca="false">Abr!B47</f>
        <v>1000</v>
      </c>
      <c r="C47" s="28"/>
      <c r="D47" s="25" t="n">
        <f aca="false">IF(AND(B47="",C47=""),"",N(C47)-N(B47))</f>
        <v>-1000</v>
      </c>
      <c r="E47" s="5"/>
    </row>
    <row r="48" customFormat="false" ht="15" hidden="false" customHeight="false" outlineLevel="0" collapsed="false">
      <c r="A48" s="15" t="s">
        <v>152</v>
      </c>
      <c r="B48" s="30" t="n">
        <f aca="false">Abr!B48</f>
        <v>120</v>
      </c>
      <c r="C48" s="28"/>
      <c r="D48" s="25" t="n">
        <f aca="false">IF(AND(B48="",C48=""),"",N(C48)-N(B48))</f>
        <v>-120</v>
      </c>
      <c r="E48" s="5"/>
    </row>
    <row r="49" customFormat="false" ht="15" hidden="false" customHeight="false" outlineLevel="0" collapsed="false">
      <c r="A49" s="15" t="str">
        <f aca="false">IF(Metas!$B$6="","Meta 1 (aba Metas)","Meta 1: "&amp;Metas!$B$6)</f>
        <v>Meta 1: Entrada do apartamento</v>
      </c>
      <c r="B49" s="30" t="n">
        <f aca="false">Abr!B49</f>
        <v>480</v>
      </c>
      <c r="C49" s="28"/>
      <c r="D49" s="25" t="n">
        <f aca="false">IF(AND(B49="",C49=""),"",N(C49)-N(B49))</f>
        <v>-480</v>
      </c>
      <c r="E49" s="5"/>
    </row>
    <row r="50" customFormat="false" ht="15" hidden="false" customHeight="false" outlineLevel="0" collapsed="false">
      <c r="A50" s="15" t="str">
        <f aca="false">IF(Metas!$B$7="","Meta 2 (aba Metas)","Meta 2: "&amp;Metas!$B$7)</f>
        <v>Meta 2: Faculdade do filho</v>
      </c>
      <c r="B50" s="30" t="n">
        <f aca="false">Abr!B50</f>
        <v>0</v>
      </c>
      <c r="C50" s="28"/>
      <c r="D50" s="25" t="n">
        <f aca="false">IF(AND(B50="",C50=""),"",N(C50)-N(B50))</f>
        <v>0</v>
      </c>
      <c r="E50" s="5"/>
    </row>
    <row r="51" customFormat="false" ht="15" hidden="false" customHeight="false" outlineLevel="0" collapsed="false">
      <c r="A51" s="15" t="str">
        <f aca="false">IF(Metas!$B$8="","Meta 3 (aba Metas)","Meta 3: "&amp;Metas!$B$8)</f>
        <v>Meta 3 (aba Metas)</v>
      </c>
      <c r="B51" s="30" t="n">
        <f aca="false">Abr!B51</f>
        <v>0</v>
      </c>
      <c r="C51" s="28"/>
      <c r="D51" s="25" t="n">
        <f aca="false">IF(AND(B51="",C51=""),"",N(C51)-N(B51))</f>
        <v>0</v>
      </c>
      <c r="E51" s="5"/>
    </row>
    <row r="52" customFormat="false" ht="15" hidden="false" customHeight="false" outlineLevel="0" collapsed="false">
      <c r="A52" s="15" t="str">
        <f aca="false">IF(Metas!$B$9="","Meta 4 (aba Metas)","Meta 4: "&amp;Metas!$B$9)</f>
        <v>Meta 4 (aba Metas)</v>
      </c>
      <c r="B52" s="30" t="n">
        <f aca="false">Abr!B52</f>
        <v>0</v>
      </c>
      <c r="C52" s="28"/>
      <c r="D52" s="25" t="n">
        <f aca="false">IF(AND(B52="",C52=""),"",N(C52)-N(B52))</f>
        <v>0</v>
      </c>
      <c r="E52" s="5"/>
    </row>
    <row r="53" customFormat="false" ht="15" hidden="false" customHeight="false" outlineLevel="0" collapsed="false">
      <c r="A53" s="15" t="str">
        <f aca="false">IF(Metas!$B$10="","Meta 5 (aba Metas)","Meta 5: "&amp;Metas!$B$10)</f>
        <v>Meta 5 (aba Metas)</v>
      </c>
      <c r="B53" s="30" t="n">
        <f aca="false">Abr!B53</f>
        <v>0</v>
      </c>
      <c r="C53" s="28"/>
      <c r="D53" s="25" t="n">
        <f aca="false">IF(AND(B53="",C53=""),"",N(C53)-N(B53))</f>
        <v>0</v>
      </c>
      <c r="E53" s="5"/>
    </row>
    <row r="54" customFormat="false" ht="15" hidden="false" customHeight="false" outlineLevel="0" collapsed="false">
      <c r="A54" s="15" t="s">
        <v>153</v>
      </c>
      <c r="B54" s="30" t="n">
        <f aca="false">Abr!B54</f>
        <v>0</v>
      </c>
      <c r="C54" s="28"/>
      <c r="D54" s="25" t="n">
        <f aca="false">IF(AND(B54="",C54=""),"",N(C54)-N(B54))</f>
        <v>0</v>
      </c>
      <c r="E54" s="5"/>
    </row>
    <row r="55" customFormat="false" ht="15" hidden="false" customHeight="false" outlineLevel="0" collapsed="false">
      <c r="A55" s="19" t="s">
        <v>119</v>
      </c>
      <c r="B55" s="20" t="n">
        <f aca="false">SUM(B46:B54)</f>
        <v>1600</v>
      </c>
      <c r="C55" s="20" t="n">
        <f aca="false">SUM(C46:C54)</f>
        <v>0</v>
      </c>
      <c r="D55" s="20" t="n">
        <f aca="false">N(C55)-N(B55)</f>
        <v>-1600</v>
      </c>
      <c r="E55" s="29"/>
    </row>
    <row r="57" customFormat="false" ht="15" hidden="false" customHeight="false" outlineLevel="0" collapsed="false">
      <c r="A57" s="31" t="s">
        <v>154</v>
      </c>
      <c r="B57" s="32" t="n">
        <f aca="false">N(B43)-B55+N(B9)</f>
        <v>0</v>
      </c>
      <c r="C57" s="32" t="str">
        <f aca="false">IF(N(C8)=0,"",N(C43)-C55+N(C9))</f>
        <v/>
      </c>
      <c r="D57" s="32" t="n">
        <f aca="false">N(C57)-N(B57)</f>
        <v>0</v>
      </c>
      <c r="E57" s="34" t="s">
        <v>155</v>
      </c>
    </row>
    <row r="59" customFormat="false" ht="15" hidden="false" customHeight="false" outlineLevel="0" collapsed="false">
      <c r="A59" s="13" t="s">
        <v>156</v>
      </c>
      <c r="B59" s="14"/>
      <c r="C59" s="14"/>
      <c r="D59" s="14"/>
      <c r="E59" s="14"/>
    </row>
    <row r="60" customFormat="false" ht="15" hidden="false" customHeight="false" outlineLevel="0" collapsed="false">
      <c r="A60" s="15" t="s">
        <v>126</v>
      </c>
      <c r="C60" s="27" t="n">
        <f aca="false">IFERROR((C55-N(C48))/C10,0)</f>
        <v>0</v>
      </c>
    </row>
    <row r="61" customFormat="false" ht="15" hidden="false" customHeight="false" outlineLevel="0" collapsed="false">
      <c r="A61" s="15" t="s">
        <v>157</v>
      </c>
      <c r="C61" s="27" t="n">
        <f aca="false">IFERROR((C19+C27+N(C30))/C8,0)</f>
        <v>0</v>
      </c>
    </row>
    <row r="62" customFormat="false" ht="15" hidden="false" customHeight="false" outlineLevel="0" collapsed="false">
      <c r="A62" s="15" t="s">
        <v>158</v>
      </c>
      <c r="C62" s="27" t="n">
        <f aca="false">IFERROR(C42/C8,0)</f>
        <v>0</v>
      </c>
    </row>
    <row r="63" customFormat="false" ht="15" hidden="false" customHeight="false" outlineLevel="0" collapsed="false">
      <c r="A63" s="15" t="s">
        <v>159</v>
      </c>
      <c r="C63" s="27" t="n">
        <f aca="false">IFERROR(C55/C8,0)</f>
        <v>0</v>
      </c>
    </row>
    <row r="64" customFormat="false" ht="15" hidden="false" customHeight="false" outlineLevel="0" collapsed="false">
      <c r="A64" s="2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A1:E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tr">
        <f aca="false">"Orçamento de junho de "&amp;Início!$C$5</f>
        <v>Orçamento de junho de 2026</v>
      </c>
    </row>
    <row r="2" customFormat="false" ht="15" hidden="false" customHeight="false" outlineLevel="0" collapsed="false">
      <c r="A2" s="2" t="s">
        <v>165</v>
      </c>
    </row>
    <row r="3" customFormat="false" ht="15" hidden="false" customHeight="false" outlineLevel="0" collapsed="false">
      <c r="A3" s="22" t="s">
        <v>130</v>
      </c>
      <c r="B3" s="22" t="s">
        <v>131</v>
      </c>
      <c r="C3" s="22" t="s">
        <v>132</v>
      </c>
      <c r="D3" s="22" t="s">
        <v>133</v>
      </c>
      <c r="E3" s="22" t="s">
        <v>134</v>
      </c>
    </row>
    <row r="4" customFormat="false" ht="15" hidden="false" customHeight="false" outlineLevel="0" collapsed="false">
      <c r="A4" s="13" t="s">
        <v>135</v>
      </c>
      <c r="B4" s="14"/>
      <c r="C4" s="14"/>
      <c r="D4" s="14"/>
      <c r="E4" s="14"/>
    </row>
    <row r="5" customFormat="false" ht="15" hidden="false" customHeight="false" outlineLevel="0" collapsed="false">
      <c r="A5" s="15" t="str">
        <f aca="false">"Renda líquida de "&amp;Início!$C$6</f>
        <v>Renda líquida de Paula</v>
      </c>
      <c r="B5" s="30" t="n">
        <f aca="false">Mai!B5</f>
        <v>4500</v>
      </c>
      <c r="C5" s="28"/>
      <c r="D5" s="25" t="n">
        <f aca="false">IF(AND(B5="",C5=""),"",N(C5)-N(B5))</f>
        <v>-4500</v>
      </c>
      <c r="E5" s="5"/>
    </row>
    <row r="6" customFormat="false" ht="15" hidden="false" customHeight="false" outlineLevel="0" collapsed="false">
      <c r="A6" s="15" t="str">
        <f aca="false">"Renda líquida de "&amp;Início!$C$7</f>
        <v>Renda líquida de Marcos</v>
      </c>
      <c r="B6" s="30" t="n">
        <f aca="false">Mai!B6</f>
        <v>3500</v>
      </c>
      <c r="C6" s="28"/>
      <c r="D6" s="25" t="n">
        <f aca="false">IF(AND(B6="",C6=""),"",N(C6)-N(B6))</f>
        <v>-3500</v>
      </c>
      <c r="E6" s="5"/>
    </row>
    <row r="7" customFormat="false" ht="15" hidden="false" customHeight="false" outlineLevel="0" collapsed="false">
      <c r="A7" s="15" t="s">
        <v>136</v>
      </c>
      <c r="B7" s="30" t="n">
        <f aca="false">Mai!B7</f>
        <v>0</v>
      </c>
      <c r="C7" s="28"/>
      <c r="D7" s="25" t="str">
        <f aca="false">IF(AND(B7="",C7=""),"",N(C7)-N(B7))</f>
        <v/>
      </c>
      <c r="E7" s="5"/>
    </row>
    <row r="8" customFormat="false" ht="15" hidden="false" customHeight="false" outlineLevel="0" collapsed="false">
      <c r="A8" s="19" t="s">
        <v>110</v>
      </c>
      <c r="B8" s="20" t="n">
        <f aca="false">SUM(B5:B7)</f>
        <v>8000</v>
      </c>
      <c r="C8" s="20" t="n">
        <f aca="false">SUM(C5:C7)</f>
        <v>0</v>
      </c>
      <c r="D8" s="20" t="n">
        <f aca="false">N(C8)-N(B8)</f>
        <v>-8000</v>
      </c>
      <c r="E8" s="29"/>
    </row>
    <row r="9" customFormat="false" ht="15" hidden="false" customHeight="false" outlineLevel="0" collapsed="false">
      <c r="A9" s="15" t="s">
        <v>137</v>
      </c>
      <c r="B9" s="30" t="n">
        <f aca="false">Mai!B9</f>
        <v>0</v>
      </c>
      <c r="C9" s="28"/>
      <c r="D9" s="25" t="str">
        <f aca="false">IF(AND(B9="",C9=""),"",N(C9)-N(B9))</f>
        <v/>
      </c>
      <c r="E9" s="5"/>
    </row>
    <row r="10" customFormat="false" ht="15" hidden="false" customHeight="false" outlineLevel="0" collapsed="false">
      <c r="A10" s="19" t="s">
        <v>111</v>
      </c>
      <c r="B10" s="20" t="n">
        <f aca="false">B8+N(B9)</f>
        <v>8000</v>
      </c>
      <c r="C10" s="20" t="n">
        <f aca="false">C8+N(C9)</f>
        <v>0</v>
      </c>
      <c r="D10" s="20" t="n">
        <f aca="false">N(C10)-N(B10)</f>
        <v>-8000</v>
      </c>
      <c r="E10" s="29"/>
    </row>
    <row r="12" customFormat="false" ht="15" hidden="false" customHeight="false" outlineLevel="0" collapsed="false">
      <c r="A12" s="13" t="s">
        <v>138</v>
      </c>
      <c r="B12" s="14"/>
      <c r="C12" s="14"/>
      <c r="D12" s="14"/>
      <c r="E12" s="14"/>
    </row>
    <row r="13" customFormat="false" ht="15" hidden="false" customHeight="false" outlineLevel="0" collapsed="false">
      <c r="A13" s="15" t="str">
        <f aca="false">Categorias!$C$6</f>
        <v>Moradia (aluguel ou prestação, condomínio)</v>
      </c>
      <c r="B13" s="30" t="n">
        <f aca="false">Mai!B13</f>
        <v>2000</v>
      </c>
      <c r="C13" s="28"/>
      <c r="D13" s="25" t="n">
        <f aca="false">IF(AND(B13="",C13=""),"",N(C13)-N(B13))</f>
        <v>-2000</v>
      </c>
      <c r="E13" s="5"/>
    </row>
    <row r="14" customFormat="false" ht="15" hidden="false" customHeight="false" outlineLevel="0" collapsed="false">
      <c r="A14" s="15" t="str">
        <f aca="false">Categorias!$C$7</f>
        <v>Contas da casa (luz, água, gás, internet, celular)</v>
      </c>
      <c r="B14" s="30" t="n">
        <f aca="false">Mai!B14</f>
        <v>450</v>
      </c>
      <c r="C14" s="28"/>
      <c r="D14" s="25" t="n">
        <f aca="false">IF(AND(B14="",C14=""),"",N(C14)-N(B14))</f>
        <v>-450</v>
      </c>
      <c r="E14" s="5"/>
    </row>
    <row r="15" customFormat="false" ht="15" hidden="false" customHeight="false" outlineLevel="0" collapsed="false">
      <c r="A15" s="15" t="str">
        <f aca="false">Categorias!$C$8</f>
        <v>Alimentação (supermercado e feira)</v>
      </c>
      <c r="B15" s="30" t="n">
        <f aca="false">Mai!B15</f>
        <v>1150</v>
      </c>
      <c r="C15" s="28"/>
      <c r="D15" s="25" t="n">
        <f aca="false">IF(AND(B15="",C15=""),"",N(C15)-N(B15))</f>
        <v>-1150</v>
      </c>
      <c r="E15" s="5"/>
    </row>
    <row r="16" customFormat="false" ht="15" hidden="false" customHeight="false" outlineLevel="0" collapsed="false">
      <c r="A16" s="15" t="str">
        <f aca="false">Categorias!$C$9</f>
        <v>Transporte (combustível, transporte público, aplicativo)</v>
      </c>
      <c r="B16" s="30" t="n">
        <f aca="false">Mai!B16</f>
        <v>350</v>
      </c>
      <c r="C16" s="28"/>
      <c r="D16" s="25" t="n">
        <f aca="false">IF(AND(B16="",C16=""),"",N(C16)-N(B16))</f>
        <v>-350</v>
      </c>
      <c r="E16" s="5"/>
    </row>
    <row r="17" customFormat="false" ht="15" hidden="false" customHeight="false" outlineLevel="0" collapsed="false">
      <c r="A17" s="15" t="str">
        <f aca="false">Categorias!$C$10</f>
        <v>Saúde (plano, farmácia, consultas)</v>
      </c>
      <c r="B17" s="30" t="n">
        <f aca="false">Mai!B17</f>
        <v>250</v>
      </c>
      <c r="C17" s="28"/>
      <c r="D17" s="25" t="n">
        <f aca="false">IF(AND(B17="",C17=""),"",N(C17)-N(B17))</f>
        <v>-250</v>
      </c>
      <c r="E17" s="5"/>
    </row>
    <row r="18" customFormat="false" ht="15" hidden="false" customHeight="false" outlineLevel="0" collapsed="false">
      <c r="A18" s="15" t="str">
        <f aca="false">Categorias!$C$11</f>
        <v>Outros essenciais</v>
      </c>
      <c r="B18" s="30" t="n">
        <f aca="false">Mai!B18</f>
        <v>0</v>
      </c>
      <c r="C18" s="28"/>
      <c r="D18" s="25" t="n">
        <f aca="false">IF(AND(B18="",C18=""),"",N(C18)-N(B18))</f>
        <v>0</v>
      </c>
      <c r="E18" s="5"/>
    </row>
    <row r="19" customFormat="false" ht="15" hidden="false" customHeight="false" outlineLevel="0" collapsed="false">
      <c r="A19" s="19" t="s">
        <v>139</v>
      </c>
      <c r="B19" s="20" t="n">
        <f aca="false">SUM(B13:B18)</f>
        <v>4200</v>
      </c>
      <c r="C19" s="20" t="n">
        <f aca="false">SUM(C13:C18)</f>
        <v>0</v>
      </c>
      <c r="D19" s="20" t="n">
        <f aca="false">N(C19)-N(B19)</f>
        <v>-4200</v>
      </c>
      <c r="E19" s="29"/>
    </row>
    <row r="21" customFormat="false" ht="15" hidden="false" customHeight="false" outlineLevel="0" collapsed="false">
      <c r="A21" s="13" t="s">
        <v>140</v>
      </c>
      <c r="B21" s="14"/>
      <c r="C21" s="14"/>
      <c r="D21" s="14"/>
      <c r="E21" s="14"/>
    </row>
    <row r="22" customFormat="false" ht="15" hidden="false" customHeight="false" outlineLevel="0" collapsed="false">
      <c r="A22" s="15" t="str">
        <f aca="false">Categorias!$C$12</f>
        <v>Financiamento ou empréstimo</v>
      </c>
      <c r="B22" s="30" t="n">
        <f aca="false">Mai!B22</f>
        <v>0</v>
      </c>
      <c r="C22" s="28"/>
      <c r="D22" s="25" t="n">
        <f aca="false">IF(AND(B22="",C22=""),"",N(C22)-N(B22))</f>
        <v>0</v>
      </c>
      <c r="E22" s="5"/>
    </row>
    <row r="23" customFormat="false" ht="15" hidden="false" customHeight="false" outlineLevel="0" collapsed="false">
      <c r="A23" s="15" t="str">
        <f aca="false">Categorias!$C$13</f>
        <v>Parcela do carro</v>
      </c>
      <c r="B23" s="30" t="n">
        <f aca="false">Mai!B23</f>
        <v>900</v>
      </c>
      <c r="C23" s="28"/>
      <c r="D23" s="25" t="n">
        <f aca="false">IF(AND(B23="",C23=""),"",N(C23)-N(B23))</f>
        <v>-900</v>
      </c>
      <c r="E23" s="5"/>
    </row>
    <row r="24" customFormat="false" ht="15" hidden="false" customHeight="false" outlineLevel="0" collapsed="false">
      <c r="A24" s="15" t="str">
        <f aca="false">Categorias!$C$14</f>
        <v>Escola, faculdade e cursos</v>
      </c>
      <c r="B24" s="30" t="n">
        <f aca="false">Mai!B24</f>
        <v>400</v>
      </c>
      <c r="C24" s="28"/>
      <c r="D24" s="25" t="n">
        <f aca="false">IF(AND(B24="",C24=""),"",N(C24)-N(B24))</f>
        <v>-400</v>
      </c>
      <c r="E24" s="5"/>
    </row>
    <row r="25" customFormat="false" ht="15" hidden="false" customHeight="false" outlineLevel="0" collapsed="false">
      <c r="A25" s="15" t="str">
        <f aca="false">Categorias!$C$15</f>
        <v>Seguros mensais</v>
      </c>
      <c r="B25" s="30" t="n">
        <f aca="false">Mai!B25</f>
        <v>0</v>
      </c>
      <c r="C25" s="28"/>
      <c r="D25" s="25" t="n">
        <f aca="false">IF(AND(B25="",C25=""),"",N(C25)-N(B25))</f>
        <v>0</v>
      </c>
      <c r="E25" s="5"/>
    </row>
    <row r="26" customFormat="false" ht="15" hidden="false" customHeight="false" outlineLevel="0" collapsed="false">
      <c r="A26" s="15" t="str">
        <f aca="false">Categorias!$C$16</f>
        <v>Outras parcelas e mensalidades</v>
      </c>
      <c r="B26" s="30" t="n">
        <f aca="false">Mai!B26</f>
        <v>0</v>
      </c>
      <c r="C26" s="28"/>
      <c r="D26" s="25" t="n">
        <f aca="false">IF(AND(B26="",C26=""),"",N(C26)-N(B26))</f>
        <v>0</v>
      </c>
      <c r="E26" s="5"/>
    </row>
    <row r="27" customFormat="false" ht="15" hidden="false" customHeight="false" outlineLevel="0" collapsed="false">
      <c r="A27" s="19" t="s">
        <v>141</v>
      </c>
      <c r="B27" s="20" t="n">
        <f aca="false">SUM(B22:B26)</f>
        <v>1300</v>
      </c>
      <c r="C27" s="20" t="n">
        <f aca="false">SUM(C22:C26)</f>
        <v>0</v>
      </c>
      <c r="D27" s="20" t="n">
        <f aca="false">N(C27)-N(B27)</f>
        <v>-1300</v>
      </c>
      <c r="E27" s="29"/>
    </row>
    <row r="29" customFormat="false" ht="15" hidden="false" customHeight="false" outlineLevel="0" collapsed="false">
      <c r="A29" s="13" t="s">
        <v>142</v>
      </c>
      <c r="B29" s="14"/>
      <c r="C29" s="14"/>
      <c r="D29" s="14"/>
      <c r="E29" s="14"/>
    </row>
    <row r="30" customFormat="false" ht="15" hidden="false" customHeight="false" outlineLevel="0" collapsed="false">
      <c r="A30" s="15" t="s">
        <v>143</v>
      </c>
      <c r="B30" s="30" t="n">
        <f aca="false">Irregulares!$C$28</f>
        <v>500</v>
      </c>
      <c r="C30" s="30" t="str">
        <f aca="false">IF(N(C8)=0,"",Irregulares!$C$28)</f>
        <v/>
      </c>
      <c r="D30" s="25" t="n">
        <f aca="false">N(C30)-N(B30)</f>
        <v>-500</v>
      </c>
    </row>
    <row r="31" customFormat="false" ht="15" hidden="false" customHeight="false" outlineLevel="0" collapsed="false">
      <c r="A31" s="15" t="s">
        <v>144</v>
      </c>
      <c r="B31" s="30" t="n">
        <f aca="false">SUMIF(Irregulares!$D$6:$D$25,6,Irregulares!$C$6:$C$25)</f>
        <v>0</v>
      </c>
      <c r="C31" s="28"/>
      <c r="D31" s="25" t="n">
        <f aca="false">IF(AND(B31="",C31=""),"",N(C31)-N(B31))</f>
        <v>0</v>
      </c>
      <c r="E31" s="2" t="s">
        <v>145</v>
      </c>
    </row>
    <row r="33" customFormat="false" ht="15" hidden="false" customHeight="false" outlineLevel="0" collapsed="false">
      <c r="A33" s="31" t="s">
        <v>146</v>
      </c>
      <c r="B33" s="32" t="n">
        <f aca="false">B8-B19-B27-N(B30)</f>
        <v>2000</v>
      </c>
      <c r="C33" s="32" t="str">
        <f aca="false">IF(N(C8)=0,"",C8-C19-C27-N(C30))</f>
        <v/>
      </c>
      <c r="D33" s="32" t="n">
        <f aca="false">N(C33)-N(B33)</f>
        <v>-2000</v>
      </c>
      <c r="E33" s="33"/>
    </row>
    <row r="35" customFormat="false" ht="15" hidden="false" customHeight="false" outlineLevel="0" collapsed="false">
      <c r="A35" s="13" t="s">
        <v>147</v>
      </c>
      <c r="B35" s="14"/>
      <c r="C35" s="14"/>
      <c r="D35" s="14"/>
      <c r="E35" s="14"/>
    </row>
    <row r="36" customFormat="false" ht="15" hidden="false" customHeight="false" outlineLevel="0" collapsed="false">
      <c r="A36" s="15" t="str">
        <f aca="false">Categorias!$C$17</f>
        <v>Restaurantes e delivery</v>
      </c>
      <c r="B36" s="30" t="n">
        <f aca="false">Mai!B36</f>
        <v>150</v>
      </c>
      <c r="C36" s="28"/>
      <c r="D36" s="25" t="n">
        <f aca="false">IF(AND(B36="",C36=""),"",N(C36)-N(B36))</f>
        <v>-150</v>
      </c>
      <c r="E36" s="5"/>
    </row>
    <row r="37" customFormat="false" ht="15" hidden="false" customHeight="false" outlineLevel="0" collapsed="false">
      <c r="A37" s="15" t="str">
        <f aca="false">Categorias!$C$18</f>
        <v>Lazer e passeios</v>
      </c>
      <c r="B37" s="30" t="n">
        <f aca="false">Mai!B37</f>
        <v>120</v>
      </c>
      <c r="C37" s="28"/>
      <c r="D37" s="25" t="n">
        <f aca="false">IF(AND(B37="",C37=""),"",N(C37)-N(B37))</f>
        <v>-120</v>
      </c>
      <c r="E37" s="5"/>
    </row>
    <row r="38" customFormat="false" ht="15" hidden="false" customHeight="false" outlineLevel="0" collapsed="false">
      <c r="A38" s="15" t="str">
        <f aca="false">Categorias!$C$19</f>
        <v>Compras (roupas, eletrônicos, casa)</v>
      </c>
      <c r="B38" s="30" t="n">
        <f aca="false">Mai!B38</f>
        <v>80</v>
      </c>
      <c r="C38" s="28"/>
      <c r="D38" s="25" t="n">
        <f aca="false">IF(AND(B38="",C38=""),"",N(C38)-N(B38))</f>
        <v>-80</v>
      </c>
      <c r="E38" s="5"/>
    </row>
    <row r="39" customFormat="false" ht="15" hidden="false" customHeight="false" outlineLevel="0" collapsed="false">
      <c r="A39" s="15" t="str">
        <f aca="false">Categorias!$C$20</f>
        <v>Assinaturas e aplicativos</v>
      </c>
      <c r="B39" s="30" t="n">
        <f aca="false">Mai!B39</f>
        <v>50</v>
      </c>
      <c r="C39" s="28"/>
      <c r="D39" s="25" t="n">
        <f aca="false">IF(AND(B39="",C39=""),"",N(C39)-N(B39))</f>
        <v>-50</v>
      </c>
      <c r="E39" s="5"/>
    </row>
    <row r="40" customFormat="false" ht="15" hidden="false" customHeight="false" outlineLevel="0" collapsed="false">
      <c r="A40" s="15" t="str">
        <f aca="false">Categorias!$C$21</f>
        <v>Cuidados pessoais</v>
      </c>
      <c r="B40" s="30" t="n">
        <f aca="false">Mai!B40</f>
        <v>0</v>
      </c>
      <c r="C40" s="28"/>
      <c r="D40" s="25" t="n">
        <f aca="false">IF(AND(B40="",C40=""),"",N(C40)-N(B40))</f>
        <v>0</v>
      </c>
      <c r="E40" s="5"/>
    </row>
    <row r="41" customFormat="false" ht="15" hidden="false" customHeight="false" outlineLevel="0" collapsed="false">
      <c r="A41" s="15" t="str">
        <f aca="false">Categorias!$C$22</f>
        <v>Presentes e outros</v>
      </c>
      <c r="B41" s="30" t="n">
        <f aca="false">Mai!B41</f>
        <v>0</v>
      </c>
      <c r="C41" s="28"/>
      <c r="D41" s="25" t="n">
        <f aca="false">IF(AND(B41="",C41=""),"",N(C41)-N(B41))</f>
        <v>0</v>
      </c>
      <c r="E41" s="5"/>
    </row>
    <row r="42" customFormat="false" ht="15" hidden="false" customHeight="false" outlineLevel="0" collapsed="false">
      <c r="A42" s="19" t="s">
        <v>148</v>
      </c>
      <c r="B42" s="20" t="n">
        <f aca="false">SUM(B36:B41)</f>
        <v>400</v>
      </c>
      <c r="C42" s="20" t="n">
        <f aca="false">SUM(C36:C41)</f>
        <v>0</v>
      </c>
      <c r="D42" s="20" t="n">
        <f aca="false">N(C42)-N(B42)</f>
        <v>-400</v>
      </c>
      <c r="E42" s="29"/>
    </row>
    <row r="43" customFormat="false" ht="15" hidden="false" customHeight="false" outlineLevel="0" collapsed="false">
      <c r="A43" s="31" t="s">
        <v>149</v>
      </c>
      <c r="B43" s="32" t="n">
        <f aca="false">N(B33)-B42</f>
        <v>1600</v>
      </c>
      <c r="C43" s="32" t="str">
        <f aca="false">IF(N(C8)=0,"",N(C33)-C42)</f>
        <v/>
      </c>
      <c r="D43" s="32" t="n">
        <f aca="false">N(C43)-N(B43)</f>
        <v>-1600</v>
      </c>
      <c r="E43" s="33"/>
    </row>
    <row r="45" customFormat="false" ht="15" hidden="false" customHeight="false" outlineLevel="0" collapsed="false">
      <c r="A45" s="13" t="s">
        <v>150</v>
      </c>
      <c r="B45" s="14"/>
      <c r="C45" s="14"/>
      <c r="D45" s="14"/>
      <c r="E45" s="14"/>
    </row>
    <row r="46" customFormat="false" ht="15" hidden="false" customHeight="false" outlineLevel="0" collapsed="false">
      <c r="A46" s="15" t="s">
        <v>151</v>
      </c>
      <c r="B46" s="30" t="n">
        <f aca="false">Mai!B46</f>
        <v>0</v>
      </c>
      <c r="C46" s="28"/>
      <c r="D46" s="25" t="n">
        <f aca="false">IF(AND(B46="",C46=""),"",N(C46)-N(B46))</f>
        <v>0</v>
      </c>
      <c r="E46" s="5"/>
    </row>
    <row r="47" customFormat="false" ht="15" hidden="false" customHeight="false" outlineLevel="0" collapsed="false">
      <c r="A47" s="15" t="s">
        <v>34</v>
      </c>
      <c r="B47" s="30" t="n">
        <f aca="false">Mai!B47</f>
        <v>1000</v>
      </c>
      <c r="C47" s="28"/>
      <c r="D47" s="25" t="n">
        <f aca="false">IF(AND(B47="",C47=""),"",N(C47)-N(B47))</f>
        <v>-1000</v>
      </c>
      <c r="E47" s="5"/>
    </row>
    <row r="48" customFormat="false" ht="15" hidden="false" customHeight="false" outlineLevel="0" collapsed="false">
      <c r="A48" s="15" t="s">
        <v>152</v>
      </c>
      <c r="B48" s="30" t="n">
        <f aca="false">Mai!B48</f>
        <v>120</v>
      </c>
      <c r="C48" s="28"/>
      <c r="D48" s="25" t="n">
        <f aca="false">IF(AND(B48="",C48=""),"",N(C48)-N(B48))</f>
        <v>-120</v>
      </c>
      <c r="E48" s="5"/>
    </row>
    <row r="49" customFormat="false" ht="15" hidden="false" customHeight="false" outlineLevel="0" collapsed="false">
      <c r="A49" s="15" t="str">
        <f aca="false">IF(Metas!$B$6="","Meta 1 (aba Metas)","Meta 1: "&amp;Metas!$B$6)</f>
        <v>Meta 1: Entrada do apartamento</v>
      </c>
      <c r="B49" s="30" t="n">
        <f aca="false">Mai!B49</f>
        <v>480</v>
      </c>
      <c r="C49" s="28"/>
      <c r="D49" s="25" t="n">
        <f aca="false">IF(AND(B49="",C49=""),"",N(C49)-N(B49))</f>
        <v>-480</v>
      </c>
      <c r="E49" s="5"/>
    </row>
    <row r="50" customFormat="false" ht="15" hidden="false" customHeight="false" outlineLevel="0" collapsed="false">
      <c r="A50" s="15" t="str">
        <f aca="false">IF(Metas!$B$7="","Meta 2 (aba Metas)","Meta 2: "&amp;Metas!$B$7)</f>
        <v>Meta 2: Faculdade do filho</v>
      </c>
      <c r="B50" s="30" t="n">
        <f aca="false">Mai!B50</f>
        <v>0</v>
      </c>
      <c r="C50" s="28"/>
      <c r="D50" s="25" t="n">
        <f aca="false">IF(AND(B50="",C50=""),"",N(C50)-N(B50))</f>
        <v>0</v>
      </c>
      <c r="E50" s="5"/>
    </row>
    <row r="51" customFormat="false" ht="15" hidden="false" customHeight="false" outlineLevel="0" collapsed="false">
      <c r="A51" s="15" t="str">
        <f aca="false">IF(Metas!$B$8="","Meta 3 (aba Metas)","Meta 3: "&amp;Metas!$B$8)</f>
        <v>Meta 3 (aba Metas)</v>
      </c>
      <c r="B51" s="30" t="n">
        <f aca="false">Mai!B51</f>
        <v>0</v>
      </c>
      <c r="C51" s="28"/>
      <c r="D51" s="25" t="n">
        <f aca="false">IF(AND(B51="",C51=""),"",N(C51)-N(B51))</f>
        <v>0</v>
      </c>
      <c r="E51" s="5"/>
    </row>
    <row r="52" customFormat="false" ht="15" hidden="false" customHeight="false" outlineLevel="0" collapsed="false">
      <c r="A52" s="15" t="str">
        <f aca="false">IF(Metas!$B$9="","Meta 4 (aba Metas)","Meta 4: "&amp;Metas!$B$9)</f>
        <v>Meta 4 (aba Metas)</v>
      </c>
      <c r="B52" s="30" t="n">
        <f aca="false">Mai!B52</f>
        <v>0</v>
      </c>
      <c r="C52" s="28"/>
      <c r="D52" s="25" t="n">
        <f aca="false">IF(AND(B52="",C52=""),"",N(C52)-N(B52))</f>
        <v>0</v>
      </c>
      <c r="E52" s="5"/>
    </row>
    <row r="53" customFormat="false" ht="15" hidden="false" customHeight="false" outlineLevel="0" collapsed="false">
      <c r="A53" s="15" t="str">
        <f aca="false">IF(Metas!$B$10="","Meta 5 (aba Metas)","Meta 5: "&amp;Metas!$B$10)</f>
        <v>Meta 5 (aba Metas)</v>
      </c>
      <c r="B53" s="30" t="n">
        <f aca="false">Mai!B53</f>
        <v>0</v>
      </c>
      <c r="C53" s="28"/>
      <c r="D53" s="25" t="n">
        <f aca="false">IF(AND(B53="",C53=""),"",N(C53)-N(B53))</f>
        <v>0</v>
      </c>
      <c r="E53" s="5"/>
    </row>
    <row r="54" customFormat="false" ht="15" hidden="false" customHeight="false" outlineLevel="0" collapsed="false">
      <c r="A54" s="15" t="s">
        <v>153</v>
      </c>
      <c r="B54" s="30" t="n">
        <f aca="false">Mai!B54</f>
        <v>0</v>
      </c>
      <c r="C54" s="28"/>
      <c r="D54" s="25" t="n">
        <f aca="false">IF(AND(B54="",C54=""),"",N(C54)-N(B54))</f>
        <v>0</v>
      </c>
      <c r="E54" s="5"/>
    </row>
    <row r="55" customFormat="false" ht="15" hidden="false" customHeight="false" outlineLevel="0" collapsed="false">
      <c r="A55" s="19" t="s">
        <v>119</v>
      </c>
      <c r="B55" s="20" t="n">
        <f aca="false">SUM(B46:B54)</f>
        <v>1600</v>
      </c>
      <c r="C55" s="20" t="n">
        <f aca="false">SUM(C46:C54)</f>
        <v>0</v>
      </c>
      <c r="D55" s="20" t="n">
        <f aca="false">N(C55)-N(B55)</f>
        <v>-1600</v>
      </c>
      <c r="E55" s="29"/>
    </row>
    <row r="57" customFormat="false" ht="15" hidden="false" customHeight="false" outlineLevel="0" collapsed="false">
      <c r="A57" s="31" t="s">
        <v>154</v>
      </c>
      <c r="B57" s="32" t="n">
        <f aca="false">N(B43)-B55+N(B9)</f>
        <v>0</v>
      </c>
      <c r="C57" s="32" t="str">
        <f aca="false">IF(N(C8)=0,"",N(C43)-C55+N(C9))</f>
        <v/>
      </c>
      <c r="D57" s="32" t="n">
        <f aca="false">N(C57)-N(B57)</f>
        <v>0</v>
      </c>
      <c r="E57" s="34" t="s">
        <v>155</v>
      </c>
    </row>
    <row r="59" customFormat="false" ht="15" hidden="false" customHeight="false" outlineLevel="0" collapsed="false">
      <c r="A59" s="13" t="s">
        <v>156</v>
      </c>
      <c r="B59" s="14"/>
      <c r="C59" s="14"/>
      <c r="D59" s="14"/>
      <c r="E59" s="14"/>
    </row>
    <row r="60" customFormat="false" ht="15" hidden="false" customHeight="false" outlineLevel="0" collapsed="false">
      <c r="A60" s="15" t="s">
        <v>126</v>
      </c>
      <c r="C60" s="27" t="n">
        <f aca="false">IFERROR((C55-N(C48))/C10,0)</f>
        <v>0</v>
      </c>
    </row>
    <row r="61" customFormat="false" ht="15" hidden="false" customHeight="false" outlineLevel="0" collapsed="false">
      <c r="A61" s="15" t="s">
        <v>157</v>
      </c>
      <c r="C61" s="27" t="n">
        <f aca="false">IFERROR((C19+C27+N(C30))/C8,0)</f>
        <v>0</v>
      </c>
    </row>
    <row r="62" customFormat="false" ht="15" hidden="false" customHeight="false" outlineLevel="0" collapsed="false">
      <c r="A62" s="15" t="s">
        <v>158</v>
      </c>
      <c r="C62" s="27" t="n">
        <f aca="false">IFERROR(C42/C8,0)</f>
        <v>0</v>
      </c>
    </row>
    <row r="63" customFormat="false" ht="15" hidden="false" customHeight="false" outlineLevel="0" collapsed="false">
      <c r="A63" s="15" t="s">
        <v>159</v>
      </c>
      <c r="C63" s="27" t="n">
        <f aca="false">IFERROR(C55/C8,0)</f>
        <v>0</v>
      </c>
    </row>
    <row r="64" customFormat="false" ht="15" hidden="false" customHeight="false" outlineLevel="0" collapsed="false">
      <c r="A64" s="2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A1:E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tr">
        <f aca="false">"Orçamento de julho de "&amp;Início!$C$5</f>
        <v>Orçamento de julho de 2026</v>
      </c>
    </row>
    <row r="2" customFormat="false" ht="15" hidden="false" customHeight="false" outlineLevel="0" collapsed="false">
      <c r="A2" s="2" t="s">
        <v>166</v>
      </c>
    </row>
    <row r="3" customFormat="false" ht="15" hidden="false" customHeight="false" outlineLevel="0" collapsed="false">
      <c r="A3" s="22" t="s">
        <v>130</v>
      </c>
      <c r="B3" s="22" t="s">
        <v>131</v>
      </c>
      <c r="C3" s="22" t="s">
        <v>132</v>
      </c>
      <c r="D3" s="22" t="s">
        <v>133</v>
      </c>
      <c r="E3" s="22" t="s">
        <v>134</v>
      </c>
    </row>
    <row r="4" customFormat="false" ht="15" hidden="false" customHeight="false" outlineLevel="0" collapsed="false">
      <c r="A4" s="13" t="s">
        <v>135</v>
      </c>
      <c r="B4" s="14"/>
      <c r="C4" s="14"/>
      <c r="D4" s="14"/>
      <c r="E4" s="14"/>
    </row>
    <row r="5" customFormat="false" ht="15" hidden="false" customHeight="false" outlineLevel="0" collapsed="false">
      <c r="A5" s="15" t="str">
        <f aca="false">"Renda líquida de "&amp;Início!$C$6</f>
        <v>Renda líquida de Paula</v>
      </c>
      <c r="B5" s="30" t="n">
        <f aca="false">Jun!B5</f>
        <v>4500</v>
      </c>
      <c r="C5" s="28"/>
      <c r="D5" s="25" t="n">
        <f aca="false">IF(AND(B5="",C5=""),"",N(C5)-N(B5))</f>
        <v>-4500</v>
      </c>
      <c r="E5" s="5"/>
    </row>
    <row r="6" customFormat="false" ht="15" hidden="false" customHeight="false" outlineLevel="0" collapsed="false">
      <c r="A6" s="15" t="str">
        <f aca="false">"Renda líquida de "&amp;Início!$C$7</f>
        <v>Renda líquida de Marcos</v>
      </c>
      <c r="B6" s="30" t="n">
        <f aca="false">Jun!B6</f>
        <v>3500</v>
      </c>
      <c r="C6" s="28"/>
      <c r="D6" s="25" t="n">
        <f aca="false">IF(AND(B6="",C6=""),"",N(C6)-N(B6))</f>
        <v>-3500</v>
      </c>
      <c r="E6" s="5"/>
    </row>
    <row r="7" customFormat="false" ht="15" hidden="false" customHeight="false" outlineLevel="0" collapsed="false">
      <c r="A7" s="15" t="s">
        <v>136</v>
      </c>
      <c r="B7" s="30" t="n">
        <f aca="false">Jun!B7</f>
        <v>0</v>
      </c>
      <c r="C7" s="28"/>
      <c r="D7" s="25" t="str">
        <f aca="false">IF(AND(B7="",C7=""),"",N(C7)-N(B7))</f>
        <v/>
      </c>
      <c r="E7" s="5"/>
    </row>
    <row r="8" customFormat="false" ht="15" hidden="false" customHeight="false" outlineLevel="0" collapsed="false">
      <c r="A8" s="19" t="s">
        <v>110</v>
      </c>
      <c r="B8" s="20" t="n">
        <f aca="false">SUM(B5:B7)</f>
        <v>8000</v>
      </c>
      <c r="C8" s="20" t="n">
        <f aca="false">SUM(C5:C7)</f>
        <v>0</v>
      </c>
      <c r="D8" s="20" t="n">
        <f aca="false">N(C8)-N(B8)</f>
        <v>-8000</v>
      </c>
      <c r="E8" s="29"/>
    </row>
    <row r="9" customFormat="false" ht="15" hidden="false" customHeight="false" outlineLevel="0" collapsed="false">
      <c r="A9" s="15" t="s">
        <v>137</v>
      </c>
      <c r="B9" s="30" t="n">
        <f aca="false">Jun!B9</f>
        <v>0</v>
      </c>
      <c r="C9" s="28"/>
      <c r="D9" s="25" t="str">
        <f aca="false">IF(AND(B9="",C9=""),"",N(C9)-N(B9))</f>
        <v/>
      </c>
      <c r="E9" s="5"/>
    </row>
    <row r="10" customFormat="false" ht="15" hidden="false" customHeight="false" outlineLevel="0" collapsed="false">
      <c r="A10" s="19" t="s">
        <v>111</v>
      </c>
      <c r="B10" s="20" t="n">
        <f aca="false">B8+N(B9)</f>
        <v>8000</v>
      </c>
      <c r="C10" s="20" t="n">
        <f aca="false">C8+N(C9)</f>
        <v>0</v>
      </c>
      <c r="D10" s="20" t="n">
        <f aca="false">N(C10)-N(B10)</f>
        <v>-8000</v>
      </c>
      <c r="E10" s="29"/>
    </row>
    <row r="12" customFormat="false" ht="15" hidden="false" customHeight="false" outlineLevel="0" collapsed="false">
      <c r="A12" s="13" t="s">
        <v>138</v>
      </c>
      <c r="B12" s="14"/>
      <c r="C12" s="14"/>
      <c r="D12" s="14"/>
      <c r="E12" s="14"/>
    </row>
    <row r="13" customFormat="false" ht="15" hidden="false" customHeight="false" outlineLevel="0" collapsed="false">
      <c r="A13" s="15" t="str">
        <f aca="false">Categorias!$C$6</f>
        <v>Moradia (aluguel ou prestação, condomínio)</v>
      </c>
      <c r="B13" s="30" t="n">
        <f aca="false">Jun!B13</f>
        <v>2000</v>
      </c>
      <c r="C13" s="28"/>
      <c r="D13" s="25" t="n">
        <f aca="false">IF(AND(B13="",C13=""),"",N(C13)-N(B13))</f>
        <v>-2000</v>
      </c>
      <c r="E13" s="5"/>
    </row>
    <row r="14" customFormat="false" ht="15" hidden="false" customHeight="false" outlineLevel="0" collapsed="false">
      <c r="A14" s="15" t="str">
        <f aca="false">Categorias!$C$7</f>
        <v>Contas da casa (luz, água, gás, internet, celular)</v>
      </c>
      <c r="B14" s="30" t="n">
        <f aca="false">Jun!B14</f>
        <v>450</v>
      </c>
      <c r="C14" s="28"/>
      <c r="D14" s="25" t="n">
        <f aca="false">IF(AND(B14="",C14=""),"",N(C14)-N(B14))</f>
        <v>-450</v>
      </c>
      <c r="E14" s="5"/>
    </row>
    <row r="15" customFormat="false" ht="15" hidden="false" customHeight="false" outlineLevel="0" collapsed="false">
      <c r="A15" s="15" t="str">
        <f aca="false">Categorias!$C$8</f>
        <v>Alimentação (supermercado e feira)</v>
      </c>
      <c r="B15" s="30" t="n">
        <f aca="false">Jun!B15</f>
        <v>1150</v>
      </c>
      <c r="C15" s="28"/>
      <c r="D15" s="25" t="n">
        <f aca="false">IF(AND(B15="",C15=""),"",N(C15)-N(B15))</f>
        <v>-1150</v>
      </c>
      <c r="E15" s="5"/>
    </row>
    <row r="16" customFormat="false" ht="15" hidden="false" customHeight="false" outlineLevel="0" collapsed="false">
      <c r="A16" s="15" t="str">
        <f aca="false">Categorias!$C$9</f>
        <v>Transporte (combustível, transporte público, aplicativo)</v>
      </c>
      <c r="B16" s="30" t="n">
        <f aca="false">Jun!B16</f>
        <v>350</v>
      </c>
      <c r="C16" s="28"/>
      <c r="D16" s="25" t="n">
        <f aca="false">IF(AND(B16="",C16=""),"",N(C16)-N(B16))</f>
        <v>-350</v>
      </c>
      <c r="E16" s="5"/>
    </row>
    <row r="17" customFormat="false" ht="15" hidden="false" customHeight="false" outlineLevel="0" collapsed="false">
      <c r="A17" s="15" t="str">
        <f aca="false">Categorias!$C$10</f>
        <v>Saúde (plano, farmácia, consultas)</v>
      </c>
      <c r="B17" s="30" t="n">
        <f aca="false">Jun!B17</f>
        <v>250</v>
      </c>
      <c r="C17" s="28"/>
      <c r="D17" s="25" t="n">
        <f aca="false">IF(AND(B17="",C17=""),"",N(C17)-N(B17))</f>
        <v>-250</v>
      </c>
      <c r="E17" s="5"/>
    </row>
    <row r="18" customFormat="false" ht="15" hidden="false" customHeight="false" outlineLevel="0" collapsed="false">
      <c r="A18" s="15" t="str">
        <f aca="false">Categorias!$C$11</f>
        <v>Outros essenciais</v>
      </c>
      <c r="B18" s="30" t="n">
        <f aca="false">Jun!B18</f>
        <v>0</v>
      </c>
      <c r="C18" s="28"/>
      <c r="D18" s="25" t="n">
        <f aca="false">IF(AND(B18="",C18=""),"",N(C18)-N(B18))</f>
        <v>0</v>
      </c>
      <c r="E18" s="5"/>
    </row>
    <row r="19" customFormat="false" ht="15" hidden="false" customHeight="false" outlineLevel="0" collapsed="false">
      <c r="A19" s="19" t="s">
        <v>139</v>
      </c>
      <c r="B19" s="20" t="n">
        <f aca="false">SUM(B13:B18)</f>
        <v>4200</v>
      </c>
      <c r="C19" s="20" t="n">
        <f aca="false">SUM(C13:C18)</f>
        <v>0</v>
      </c>
      <c r="D19" s="20" t="n">
        <f aca="false">N(C19)-N(B19)</f>
        <v>-4200</v>
      </c>
      <c r="E19" s="29"/>
    </row>
    <row r="21" customFormat="false" ht="15" hidden="false" customHeight="false" outlineLevel="0" collapsed="false">
      <c r="A21" s="13" t="s">
        <v>140</v>
      </c>
      <c r="B21" s="14"/>
      <c r="C21" s="14"/>
      <c r="D21" s="14"/>
      <c r="E21" s="14"/>
    </row>
    <row r="22" customFormat="false" ht="15" hidden="false" customHeight="false" outlineLevel="0" collapsed="false">
      <c r="A22" s="15" t="str">
        <f aca="false">Categorias!$C$12</f>
        <v>Financiamento ou empréstimo</v>
      </c>
      <c r="B22" s="30" t="n">
        <f aca="false">Jun!B22</f>
        <v>0</v>
      </c>
      <c r="C22" s="28"/>
      <c r="D22" s="25" t="n">
        <f aca="false">IF(AND(B22="",C22=""),"",N(C22)-N(B22))</f>
        <v>0</v>
      </c>
      <c r="E22" s="5"/>
    </row>
    <row r="23" customFormat="false" ht="15" hidden="false" customHeight="false" outlineLevel="0" collapsed="false">
      <c r="A23" s="15" t="str">
        <f aca="false">Categorias!$C$13</f>
        <v>Parcela do carro</v>
      </c>
      <c r="B23" s="30" t="n">
        <f aca="false">Jun!B23</f>
        <v>900</v>
      </c>
      <c r="C23" s="28"/>
      <c r="D23" s="25" t="n">
        <f aca="false">IF(AND(B23="",C23=""),"",N(C23)-N(B23))</f>
        <v>-900</v>
      </c>
      <c r="E23" s="5"/>
    </row>
    <row r="24" customFormat="false" ht="15" hidden="false" customHeight="false" outlineLevel="0" collapsed="false">
      <c r="A24" s="15" t="str">
        <f aca="false">Categorias!$C$14</f>
        <v>Escola, faculdade e cursos</v>
      </c>
      <c r="B24" s="30" t="n">
        <f aca="false">Jun!B24</f>
        <v>400</v>
      </c>
      <c r="C24" s="28"/>
      <c r="D24" s="25" t="n">
        <f aca="false">IF(AND(B24="",C24=""),"",N(C24)-N(B24))</f>
        <v>-400</v>
      </c>
      <c r="E24" s="5"/>
    </row>
    <row r="25" customFormat="false" ht="15" hidden="false" customHeight="false" outlineLevel="0" collapsed="false">
      <c r="A25" s="15" t="str">
        <f aca="false">Categorias!$C$15</f>
        <v>Seguros mensais</v>
      </c>
      <c r="B25" s="30" t="n">
        <f aca="false">Jun!B25</f>
        <v>0</v>
      </c>
      <c r="C25" s="28"/>
      <c r="D25" s="25" t="n">
        <f aca="false">IF(AND(B25="",C25=""),"",N(C25)-N(B25))</f>
        <v>0</v>
      </c>
      <c r="E25" s="5"/>
    </row>
    <row r="26" customFormat="false" ht="15" hidden="false" customHeight="false" outlineLevel="0" collapsed="false">
      <c r="A26" s="15" t="str">
        <f aca="false">Categorias!$C$16</f>
        <v>Outras parcelas e mensalidades</v>
      </c>
      <c r="B26" s="30" t="n">
        <f aca="false">Jun!B26</f>
        <v>0</v>
      </c>
      <c r="C26" s="28"/>
      <c r="D26" s="25" t="n">
        <f aca="false">IF(AND(B26="",C26=""),"",N(C26)-N(B26))</f>
        <v>0</v>
      </c>
      <c r="E26" s="5"/>
    </row>
    <row r="27" customFormat="false" ht="15" hidden="false" customHeight="false" outlineLevel="0" collapsed="false">
      <c r="A27" s="19" t="s">
        <v>141</v>
      </c>
      <c r="B27" s="20" t="n">
        <f aca="false">SUM(B22:B26)</f>
        <v>1300</v>
      </c>
      <c r="C27" s="20" t="n">
        <f aca="false">SUM(C22:C26)</f>
        <v>0</v>
      </c>
      <c r="D27" s="20" t="n">
        <f aca="false">N(C27)-N(B27)</f>
        <v>-1300</v>
      </c>
      <c r="E27" s="29"/>
    </row>
    <row r="29" customFormat="false" ht="15" hidden="false" customHeight="false" outlineLevel="0" collapsed="false">
      <c r="A29" s="13" t="s">
        <v>142</v>
      </c>
      <c r="B29" s="14"/>
      <c r="C29" s="14"/>
      <c r="D29" s="14"/>
      <c r="E29" s="14"/>
    </row>
    <row r="30" customFormat="false" ht="15" hidden="false" customHeight="false" outlineLevel="0" collapsed="false">
      <c r="A30" s="15" t="s">
        <v>143</v>
      </c>
      <c r="B30" s="30" t="n">
        <f aca="false">Irregulares!$C$28</f>
        <v>500</v>
      </c>
      <c r="C30" s="30" t="str">
        <f aca="false">IF(N(C8)=0,"",Irregulares!$C$28)</f>
        <v/>
      </c>
      <c r="D30" s="25" t="n">
        <f aca="false">N(C30)-N(B30)</f>
        <v>-500</v>
      </c>
    </row>
    <row r="31" customFormat="false" ht="15" hidden="false" customHeight="false" outlineLevel="0" collapsed="false">
      <c r="A31" s="15" t="s">
        <v>144</v>
      </c>
      <c r="B31" s="30" t="n">
        <f aca="false">SUMIF(Irregulares!$D$6:$D$25,7,Irregulares!$C$6:$C$25)</f>
        <v>0</v>
      </c>
      <c r="C31" s="28"/>
      <c r="D31" s="25" t="n">
        <f aca="false">IF(AND(B31="",C31=""),"",N(C31)-N(B31))</f>
        <v>0</v>
      </c>
      <c r="E31" s="2" t="s">
        <v>145</v>
      </c>
    </row>
    <row r="33" customFormat="false" ht="15" hidden="false" customHeight="false" outlineLevel="0" collapsed="false">
      <c r="A33" s="31" t="s">
        <v>146</v>
      </c>
      <c r="B33" s="32" t="n">
        <f aca="false">B8-B19-B27-N(B30)</f>
        <v>2000</v>
      </c>
      <c r="C33" s="32" t="str">
        <f aca="false">IF(N(C8)=0,"",C8-C19-C27-N(C30))</f>
        <v/>
      </c>
      <c r="D33" s="32" t="n">
        <f aca="false">N(C33)-N(B33)</f>
        <v>-2000</v>
      </c>
      <c r="E33" s="33"/>
    </row>
    <row r="35" customFormat="false" ht="15" hidden="false" customHeight="false" outlineLevel="0" collapsed="false">
      <c r="A35" s="13" t="s">
        <v>147</v>
      </c>
      <c r="B35" s="14"/>
      <c r="C35" s="14"/>
      <c r="D35" s="14"/>
      <c r="E35" s="14"/>
    </row>
    <row r="36" customFormat="false" ht="15" hidden="false" customHeight="false" outlineLevel="0" collapsed="false">
      <c r="A36" s="15" t="str">
        <f aca="false">Categorias!$C$17</f>
        <v>Restaurantes e delivery</v>
      </c>
      <c r="B36" s="30" t="n">
        <f aca="false">Jun!B36</f>
        <v>150</v>
      </c>
      <c r="C36" s="28"/>
      <c r="D36" s="25" t="n">
        <f aca="false">IF(AND(B36="",C36=""),"",N(C36)-N(B36))</f>
        <v>-150</v>
      </c>
      <c r="E36" s="5"/>
    </row>
    <row r="37" customFormat="false" ht="15" hidden="false" customHeight="false" outlineLevel="0" collapsed="false">
      <c r="A37" s="15" t="str">
        <f aca="false">Categorias!$C$18</f>
        <v>Lazer e passeios</v>
      </c>
      <c r="B37" s="30" t="n">
        <f aca="false">Jun!B37</f>
        <v>120</v>
      </c>
      <c r="C37" s="28"/>
      <c r="D37" s="25" t="n">
        <f aca="false">IF(AND(B37="",C37=""),"",N(C37)-N(B37))</f>
        <v>-120</v>
      </c>
      <c r="E37" s="5"/>
    </row>
    <row r="38" customFormat="false" ht="15" hidden="false" customHeight="false" outlineLevel="0" collapsed="false">
      <c r="A38" s="15" t="str">
        <f aca="false">Categorias!$C$19</f>
        <v>Compras (roupas, eletrônicos, casa)</v>
      </c>
      <c r="B38" s="30" t="n">
        <f aca="false">Jun!B38</f>
        <v>80</v>
      </c>
      <c r="C38" s="28"/>
      <c r="D38" s="25" t="n">
        <f aca="false">IF(AND(B38="",C38=""),"",N(C38)-N(B38))</f>
        <v>-80</v>
      </c>
      <c r="E38" s="5"/>
    </row>
    <row r="39" customFormat="false" ht="15" hidden="false" customHeight="false" outlineLevel="0" collapsed="false">
      <c r="A39" s="15" t="str">
        <f aca="false">Categorias!$C$20</f>
        <v>Assinaturas e aplicativos</v>
      </c>
      <c r="B39" s="30" t="n">
        <f aca="false">Jun!B39</f>
        <v>50</v>
      </c>
      <c r="C39" s="28"/>
      <c r="D39" s="25" t="n">
        <f aca="false">IF(AND(B39="",C39=""),"",N(C39)-N(B39))</f>
        <v>-50</v>
      </c>
      <c r="E39" s="5"/>
    </row>
    <row r="40" customFormat="false" ht="15" hidden="false" customHeight="false" outlineLevel="0" collapsed="false">
      <c r="A40" s="15" t="str">
        <f aca="false">Categorias!$C$21</f>
        <v>Cuidados pessoais</v>
      </c>
      <c r="B40" s="30" t="n">
        <f aca="false">Jun!B40</f>
        <v>0</v>
      </c>
      <c r="C40" s="28"/>
      <c r="D40" s="25" t="n">
        <f aca="false">IF(AND(B40="",C40=""),"",N(C40)-N(B40))</f>
        <v>0</v>
      </c>
      <c r="E40" s="5"/>
    </row>
    <row r="41" customFormat="false" ht="15" hidden="false" customHeight="false" outlineLevel="0" collapsed="false">
      <c r="A41" s="15" t="str">
        <f aca="false">Categorias!$C$22</f>
        <v>Presentes e outros</v>
      </c>
      <c r="B41" s="30" t="n">
        <f aca="false">Jun!B41</f>
        <v>0</v>
      </c>
      <c r="C41" s="28"/>
      <c r="D41" s="25" t="n">
        <f aca="false">IF(AND(B41="",C41=""),"",N(C41)-N(B41))</f>
        <v>0</v>
      </c>
      <c r="E41" s="5"/>
    </row>
    <row r="42" customFormat="false" ht="15" hidden="false" customHeight="false" outlineLevel="0" collapsed="false">
      <c r="A42" s="19" t="s">
        <v>148</v>
      </c>
      <c r="B42" s="20" t="n">
        <f aca="false">SUM(B36:B41)</f>
        <v>400</v>
      </c>
      <c r="C42" s="20" t="n">
        <f aca="false">SUM(C36:C41)</f>
        <v>0</v>
      </c>
      <c r="D42" s="20" t="n">
        <f aca="false">N(C42)-N(B42)</f>
        <v>-400</v>
      </c>
      <c r="E42" s="29"/>
    </row>
    <row r="43" customFormat="false" ht="15" hidden="false" customHeight="false" outlineLevel="0" collapsed="false">
      <c r="A43" s="31" t="s">
        <v>149</v>
      </c>
      <c r="B43" s="32" t="n">
        <f aca="false">N(B33)-B42</f>
        <v>1600</v>
      </c>
      <c r="C43" s="32" t="str">
        <f aca="false">IF(N(C8)=0,"",N(C33)-C42)</f>
        <v/>
      </c>
      <c r="D43" s="32" t="n">
        <f aca="false">N(C43)-N(B43)</f>
        <v>-1600</v>
      </c>
      <c r="E43" s="33"/>
    </row>
    <row r="45" customFormat="false" ht="15" hidden="false" customHeight="false" outlineLevel="0" collapsed="false">
      <c r="A45" s="13" t="s">
        <v>150</v>
      </c>
      <c r="B45" s="14"/>
      <c r="C45" s="14"/>
      <c r="D45" s="14"/>
      <c r="E45" s="14"/>
    </row>
    <row r="46" customFormat="false" ht="15" hidden="false" customHeight="false" outlineLevel="0" collapsed="false">
      <c r="A46" s="15" t="s">
        <v>151</v>
      </c>
      <c r="B46" s="30" t="n">
        <f aca="false">Jun!B46</f>
        <v>0</v>
      </c>
      <c r="C46" s="28"/>
      <c r="D46" s="25" t="n">
        <f aca="false">IF(AND(B46="",C46=""),"",N(C46)-N(B46))</f>
        <v>0</v>
      </c>
      <c r="E46" s="5"/>
    </row>
    <row r="47" customFormat="false" ht="15" hidden="false" customHeight="false" outlineLevel="0" collapsed="false">
      <c r="A47" s="15" t="s">
        <v>34</v>
      </c>
      <c r="B47" s="30" t="n">
        <f aca="false">Jun!B47</f>
        <v>1000</v>
      </c>
      <c r="C47" s="28"/>
      <c r="D47" s="25" t="n">
        <f aca="false">IF(AND(B47="",C47=""),"",N(C47)-N(B47))</f>
        <v>-1000</v>
      </c>
      <c r="E47" s="5"/>
    </row>
    <row r="48" customFormat="false" ht="15" hidden="false" customHeight="false" outlineLevel="0" collapsed="false">
      <c r="A48" s="15" t="s">
        <v>152</v>
      </c>
      <c r="B48" s="30" t="n">
        <f aca="false">Jun!B48</f>
        <v>120</v>
      </c>
      <c r="C48" s="28"/>
      <c r="D48" s="25" t="n">
        <f aca="false">IF(AND(B48="",C48=""),"",N(C48)-N(B48))</f>
        <v>-120</v>
      </c>
      <c r="E48" s="5"/>
    </row>
    <row r="49" customFormat="false" ht="15" hidden="false" customHeight="false" outlineLevel="0" collapsed="false">
      <c r="A49" s="15" t="str">
        <f aca="false">IF(Metas!$B$6="","Meta 1 (aba Metas)","Meta 1: "&amp;Metas!$B$6)</f>
        <v>Meta 1: Entrada do apartamento</v>
      </c>
      <c r="B49" s="30" t="n">
        <f aca="false">Jun!B49</f>
        <v>480</v>
      </c>
      <c r="C49" s="28"/>
      <c r="D49" s="25" t="n">
        <f aca="false">IF(AND(B49="",C49=""),"",N(C49)-N(B49))</f>
        <v>-480</v>
      </c>
      <c r="E49" s="5"/>
    </row>
    <row r="50" customFormat="false" ht="15" hidden="false" customHeight="false" outlineLevel="0" collapsed="false">
      <c r="A50" s="15" t="str">
        <f aca="false">IF(Metas!$B$7="","Meta 2 (aba Metas)","Meta 2: "&amp;Metas!$B$7)</f>
        <v>Meta 2: Faculdade do filho</v>
      </c>
      <c r="B50" s="30" t="n">
        <f aca="false">Jun!B50</f>
        <v>0</v>
      </c>
      <c r="C50" s="28"/>
      <c r="D50" s="25" t="n">
        <f aca="false">IF(AND(B50="",C50=""),"",N(C50)-N(B50))</f>
        <v>0</v>
      </c>
      <c r="E50" s="5"/>
    </row>
    <row r="51" customFormat="false" ht="15" hidden="false" customHeight="false" outlineLevel="0" collapsed="false">
      <c r="A51" s="15" t="str">
        <f aca="false">IF(Metas!$B$8="","Meta 3 (aba Metas)","Meta 3: "&amp;Metas!$B$8)</f>
        <v>Meta 3 (aba Metas)</v>
      </c>
      <c r="B51" s="30" t="n">
        <f aca="false">Jun!B51</f>
        <v>0</v>
      </c>
      <c r="C51" s="28"/>
      <c r="D51" s="25" t="n">
        <f aca="false">IF(AND(B51="",C51=""),"",N(C51)-N(B51))</f>
        <v>0</v>
      </c>
      <c r="E51" s="5"/>
    </row>
    <row r="52" customFormat="false" ht="15" hidden="false" customHeight="false" outlineLevel="0" collapsed="false">
      <c r="A52" s="15" t="str">
        <f aca="false">IF(Metas!$B$9="","Meta 4 (aba Metas)","Meta 4: "&amp;Metas!$B$9)</f>
        <v>Meta 4 (aba Metas)</v>
      </c>
      <c r="B52" s="30" t="n">
        <f aca="false">Jun!B52</f>
        <v>0</v>
      </c>
      <c r="C52" s="28"/>
      <c r="D52" s="25" t="n">
        <f aca="false">IF(AND(B52="",C52=""),"",N(C52)-N(B52))</f>
        <v>0</v>
      </c>
      <c r="E52" s="5"/>
    </row>
    <row r="53" customFormat="false" ht="15" hidden="false" customHeight="false" outlineLevel="0" collapsed="false">
      <c r="A53" s="15" t="str">
        <f aca="false">IF(Metas!$B$10="","Meta 5 (aba Metas)","Meta 5: "&amp;Metas!$B$10)</f>
        <v>Meta 5 (aba Metas)</v>
      </c>
      <c r="B53" s="30" t="n">
        <f aca="false">Jun!B53</f>
        <v>0</v>
      </c>
      <c r="C53" s="28"/>
      <c r="D53" s="25" t="n">
        <f aca="false">IF(AND(B53="",C53=""),"",N(C53)-N(B53))</f>
        <v>0</v>
      </c>
      <c r="E53" s="5"/>
    </row>
    <row r="54" customFormat="false" ht="15" hidden="false" customHeight="false" outlineLevel="0" collapsed="false">
      <c r="A54" s="15" t="s">
        <v>153</v>
      </c>
      <c r="B54" s="30" t="n">
        <f aca="false">Jun!B54</f>
        <v>0</v>
      </c>
      <c r="C54" s="28"/>
      <c r="D54" s="25" t="n">
        <f aca="false">IF(AND(B54="",C54=""),"",N(C54)-N(B54))</f>
        <v>0</v>
      </c>
      <c r="E54" s="5"/>
    </row>
    <row r="55" customFormat="false" ht="15" hidden="false" customHeight="false" outlineLevel="0" collapsed="false">
      <c r="A55" s="19" t="s">
        <v>119</v>
      </c>
      <c r="B55" s="20" t="n">
        <f aca="false">SUM(B46:B54)</f>
        <v>1600</v>
      </c>
      <c r="C55" s="20" t="n">
        <f aca="false">SUM(C46:C54)</f>
        <v>0</v>
      </c>
      <c r="D55" s="20" t="n">
        <f aca="false">N(C55)-N(B55)</f>
        <v>-1600</v>
      </c>
      <c r="E55" s="29"/>
    </row>
    <row r="57" customFormat="false" ht="15" hidden="false" customHeight="false" outlineLevel="0" collapsed="false">
      <c r="A57" s="31" t="s">
        <v>154</v>
      </c>
      <c r="B57" s="32" t="n">
        <f aca="false">N(B43)-B55+N(B9)</f>
        <v>0</v>
      </c>
      <c r="C57" s="32" t="str">
        <f aca="false">IF(N(C8)=0,"",N(C43)-C55+N(C9))</f>
        <v/>
      </c>
      <c r="D57" s="32" t="n">
        <f aca="false">N(C57)-N(B57)</f>
        <v>0</v>
      </c>
      <c r="E57" s="34" t="s">
        <v>155</v>
      </c>
    </row>
    <row r="59" customFormat="false" ht="15" hidden="false" customHeight="false" outlineLevel="0" collapsed="false">
      <c r="A59" s="13" t="s">
        <v>156</v>
      </c>
      <c r="B59" s="14"/>
      <c r="C59" s="14"/>
      <c r="D59" s="14"/>
      <c r="E59" s="14"/>
    </row>
    <row r="60" customFormat="false" ht="15" hidden="false" customHeight="false" outlineLevel="0" collapsed="false">
      <c r="A60" s="15" t="s">
        <v>126</v>
      </c>
      <c r="C60" s="27" t="n">
        <f aca="false">IFERROR((C55-N(C48))/C10,0)</f>
        <v>0</v>
      </c>
    </row>
    <row r="61" customFormat="false" ht="15" hidden="false" customHeight="false" outlineLevel="0" collapsed="false">
      <c r="A61" s="15" t="s">
        <v>157</v>
      </c>
      <c r="C61" s="27" t="n">
        <f aca="false">IFERROR((C19+C27+N(C30))/C8,0)</f>
        <v>0</v>
      </c>
    </row>
    <row r="62" customFormat="false" ht="15" hidden="false" customHeight="false" outlineLevel="0" collapsed="false">
      <c r="A62" s="15" t="s">
        <v>158</v>
      </c>
      <c r="C62" s="27" t="n">
        <f aca="false">IFERROR(C42/C8,0)</f>
        <v>0</v>
      </c>
    </row>
    <row r="63" customFormat="false" ht="15" hidden="false" customHeight="false" outlineLevel="0" collapsed="false">
      <c r="A63" s="15" t="s">
        <v>159</v>
      </c>
      <c r="C63" s="27" t="n">
        <f aca="false">IFERROR(C55/C8,0)</f>
        <v>0</v>
      </c>
    </row>
    <row r="64" customFormat="false" ht="15" hidden="false" customHeight="false" outlineLevel="0" collapsed="false">
      <c r="A64" s="2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A1:E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tr">
        <f aca="false">"Orçamento de agosto de "&amp;Início!$C$5</f>
        <v>Orçamento de agosto de 2026</v>
      </c>
    </row>
    <row r="2" customFormat="false" ht="15" hidden="false" customHeight="false" outlineLevel="0" collapsed="false">
      <c r="A2" s="2" t="s">
        <v>167</v>
      </c>
    </row>
    <row r="3" customFormat="false" ht="15" hidden="false" customHeight="false" outlineLevel="0" collapsed="false">
      <c r="A3" s="22" t="s">
        <v>130</v>
      </c>
      <c r="B3" s="22" t="s">
        <v>131</v>
      </c>
      <c r="C3" s="22" t="s">
        <v>132</v>
      </c>
      <c r="D3" s="22" t="s">
        <v>133</v>
      </c>
      <c r="E3" s="22" t="s">
        <v>134</v>
      </c>
    </row>
    <row r="4" customFormat="false" ht="15" hidden="false" customHeight="false" outlineLevel="0" collapsed="false">
      <c r="A4" s="13" t="s">
        <v>135</v>
      </c>
      <c r="B4" s="14"/>
      <c r="C4" s="14"/>
      <c r="D4" s="14"/>
      <c r="E4" s="14"/>
    </row>
    <row r="5" customFormat="false" ht="15" hidden="false" customHeight="false" outlineLevel="0" collapsed="false">
      <c r="A5" s="15" t="str">
        <f aca="false">"Renda líquida de "&amp;Início!$C$6</f>
        <v>Renda líquida de Paula</v>
      </c>
      <c r="B5" s="30" t="n">
        <f aca="false">Jul!B5</f>
        <v>4500</v>
      </c>
      <c r="C5" s="28"/>
      <c r="D5" s="25" t="n">
        <f aca="false">IF(AND(B5="",C5=""),"",N(C5)-N(B5))</f>
        <v>-4500</v>
      </c>
      <c r="E5" s="5"/>
    </row>
    <row r="6" customFormat="false" ht="15" hidden="false" customHeight="false" outlineLevel="0" collapsed="false">
      <c r="A6" s="15" t="str">
        <f aca="false">"Renda líquida de "&amp;Início!$C$7</f>
        <v>Renda líquida de Marcos</v>
      </c>
      <c r="B6" s="30" t="n">
        <f aca="false">Jul!B6</f>
        <v>3500</v>
      </c>
      <c r="C6" s="28"/>
      <c r="D6" s="25" t="n">
        <f aca="false">IF(AND(B6="",C6=""),"",N(C6)-N(B6))</f>
        <v>-3500</v>
      </c>
      <c r="E6" s="5"/>
    </row>
    <row r="7" customFormat="false" ht="15" hidden="false" customHeight="false" outlineLevel="0" collapsed="false">
      <c r="A7" s="15" t="s">
        <v>136</v>
      </c>
      <c r="B7" s="30" t="n">
        <f aca="false">Jul!B7</f>
        <v>0</v>
      </c>
      <c r="C7" s="28"/>
      <c r="D7" s="25" t="str">
        <f aca="false">IF(AND(B7="",C7=""),"",N(C7)-N(B7))</f>
        <v/>
      </c>
      <c r="E7" s="5"/>
    </row>
    <row r="8" customFormat="false" ht="15" hidden="false" customHeight="false" outlineLevel="0" collapsed="false">
      <c r="A8" s="19" t="s">
        <v>110</v>
      </c>
      <c r="B8" s="20" t="n">
        <f aca="false">SUM(B5:B7)</f>
        <v>8000</v>
      </c>
      <c r="C8" s="20" t="n">
        <f aca="false">SUM(C5:C7)</f>
        <v>0</v>
      </c>
      <c r="D8" s="20" t="n">
        <f aca="false">N(C8)-N(B8)</f>
        <v>-8000</v>
      </c>
      <c r="E8" s="29"/>
    </row>
    <row r="9" customFormat="false" ht="15" hidden="false" customHeight="false" outlineLevel="0" collapsed="false">
      <c r="A9" s="15" t="s">
        <v>137</v>
      </c>
      <c r="B9" s="30" t="n">
        <f aca="false">Jul!B9</f>
        <v>0</v>
      </c>
      <c r="C9" s="28"/>
      <c r="D9" s="25" t="str">
        <f aca="false">IF(AND(B9="",C9=""),"",N(C9)-N(B9))</f>
        <v/>
      </c>
      <c r="E9" s="5"/>
    </row>
    <row r="10" customFormat="false" ht="15" hidden="false" customHeight="false" outlineLevel="0" collapsed="false">
      <c r="A10" s="19" t="s">
        <v>111</v>
      </c>
      <c r="B10" s="20" t="n">
        <f aca="false">B8+N(B9)</f>
        <v>8000</v>
      </c>
      <c r="C10" s="20" t="n">
        <f aca="false">C8+N(C9)</f>
        <v>0</v>
      </c>
      <c r="D10" s="20" t="n">
        <f aca="false">N(C10)-N(B10)</f>
        <v>-8000</v>
      </c>
      <c r="E10" s="29"/>
    </row>
    <row r="12" customFormat="false" ht="15" hidden="false" customHeight="false" outlineLevel="0" collapsed="false">
      <c r="A12" s="13" t="s">
        <v>138</v>
      </c>
      <c r="B12" s="14"/>
      <c r="C12" s="14"/>
      <c r="D12" s="14"/>
      <c r="E12" s="14"/>
    </row>
    <row r="13" customFormat="false" ht="15" hidden="false" customHeight="false" outlineLevel="0" collapsed="false">
      <c r="A13" s="15" t="str">
        <f aca="false">Categorias!$C$6</f>
        <v>Moradia (aluguel ou prestação, condomínio)</v>
      </c>
      <c r="B13" s="30" t="n">
        <f aca="false">Jul!B13</f>
        <v>2000</v>
      </c>
      <c r="C13" s="28"/>
      <c r="D13" s="25" t="n">
        <f aca="false">IF(AND(B13="",C13=""),"",N(C13)-N(B13))</f>
        <v>-2000</v>
      </c>
      <c r="E13" s="5"/>
    </row>
    <row r="14" customFormat="false" ht="15" hidden="false" customHeight="false" outlineLevel="0" collapsed="false">
      <c r="A14" s="15" t="str">
        <f aca="false">Categorias!$C$7</f>
        <v>Contas da casa (luz, água, gás, internet, celular)</v>
      </c>
      <c r="B14" s="30" t="n">
        <f aca="false">Jul!B14</f>
        <v>450</v>
      </c>
      <c r="C14" s="28"/>
      <c r="D14" s="25" t="n">
        <f aca="false">IF(AND(B14="",C14=""),"",N(C14)-N(B14))</f>
        <v>-450</v>
      </c>
      <c r="E14" s="5"/>
    </row>
    <row r="15" customFormat="false" ht="15" hidden="false" customHeight="false" outlineLevel="0" collapsed="false">
      <c r="A15" s="15" t="str">
        <f aca="false">Categorias!$C$8</f>
        <v>Alimentação (supermercado e feira)</v>
      </c>
      <c r="B15" s="30" t="n">
        <f aca="false">Jul!B15</f>
        <v>1150</v>
      </c>
      <c r="C15" s="28"/>
      <c r="D15" s="25" t="n">
        <f aca="false">IF(AND(B15="",C15=""),"",N(C15)-N(B15))</f>
        <v>-1150</v>
      </c>
      <c r="E15" s="5"/>
    </row>
    <row r="16" customFormat="false" ht="15" hidden="false" customHeight="false" outlineLevel="0" collapsed="false">
      <c r="A16" s="15" t="str">
        <f aca="false">Categorias!$C$9</f>
        <v>Transporte (combustível, transporte público, aplicativo)</v>
      </c>
      <c r="B16" s="30" t="n">
        <f aca="false">Jul!B16</f>
        <v>350</v>
      </c>
      <c r="C16" s="28"/>
      <c r="D16" s="25" t="n">
        <f aca="false">IF(AND(B16="",C16=""),"",N(C16)-N(B16))</f>
        <v>-350</v>
      </c>
      <c r="E16" s="5"/>
    </row>
    <row r="17" customFormat="false" ht="15" hidden="false" customHeight="false" outlineLevel="0" collapsed="false">
      <c r="A17" s="15" t="str">
        <f aca="false">Categorias!$C$10</f>
        <v>Saúde (plano, farmácia, consultas)</v>
      </c>
      <c r="B17" s="30" t="n">
        <f aca="false">Jul!B17</f>
        <v>250</v>
      </c>
      <c r="C17" s="28"/>
      <c r="D17" s="25" t="n">
        <f aca="false">IF(AND(B17="",C17=""),"",N(C17)-N(B17))</f>
        <v>-250</v>
      </c>
      <c r="E17" s="5"/>
    </row>
    <row r="18" customFormat="false" ht="15" hidden="false" customHeight="false" outlineLevel="0" collapsed="false">
      <c r="A18" s="15" t="str">
        <f aca="false">Categorias!$C$11</f>
        <v>Outros essenciais</v>
      </c>
      <c r="B18" s="30" t="n">
        <f aca="false">Jul!B18</f>
        <v>0</v>
      </c>
      <c r="C18" s="28"/>
      <c r="D18" s="25" t="n">
        <f aca="false">IF(AND(B18="",C18=""),"",N(C18)-N(B18))</f>
        <v>0</v>
      </c>
      <c r="E18" s="5"/>
    </row>
    <row r="19" customFormat="false" ht="15" hidden="false" customHeight="false" outlineLevel="0" collapsed="false">
      <c r="A19" s="19" t="s">
        <v>139</v>
      </c>
      <c r="B19" s="20" t="n">
        <f aca="false">SUM(B13:B18)</f>
        <v>4200</v>
      </c>
      <c r="C19" s="20" t="n">
        <f aca="false">SUM(C13:C18)</f>
        <v>0</v>
      </c>
      <c r="D19" s="20" t="n">
        <f aca="false">N(C19)-N(B19)</f>
        <v>-4200</v>
      </c>
      <c r="E19" s="29"/>
    </row>
    <row r="21" customFormat="false" ht="15" hidden="false" customHeight="false" outlineLevel="0" collapsed="false">
      <c r="A21" s="13" t="s">
        <v>140</v>
      </c>
      <c r="B21" s="14"/>
      <c r="C21" s="14"/>
      <c r="D21" s="14"/>
      <c r="E21" s="14"/>
    </row>
    <row r="22" customFormat="false" ht="15" hidden="false" customHeight="false" outlineLevel="0" collapsed="false">
      <c r="A22" s="15" t="str">
        <f aca="false">Categorias!$C$12</f>
        <v>Financiamento ou empréstimo</v>
      </c>
      <c r="B22" s="30" t="n">
        <f aca="false">Jul!B22</f>
        <v>0</v>
      </c>
      <c r="C22" s="28"/>
      <c r="D22" s="25" t="n">
        <f aca="false">IF(AND(B22="",C22=""),"",N(C22)-N(B22))</f>
        <v>0</v>
      </c>
      <c r="E22" s="5"/>
    </row>
    <row r="23" customFormat="false" ht="15" hidden="false" customHeight="false" outlineLevel="0" collapsed="false">
      <c r="A23" s="15" t="str">
        <f aca="false">Categorias!$C$13</f>
        <v>Parcela do carro</v>
      </c>
      <c r="B23" s="30" t="n">
        <f aca="false">Jul!B23</f>
        <v>900</v>
      </c>
      <c r="C23" s="28"/>
      <c r="D23" s="25" t="n">
        <f aca="false">IF(AND(B23="",C23=""),"",N(C23)-N(B23))</f>
        <v>-900</v>
      </c>
      <c r="E23" s="5"/>
    </row>
    <row r="24" customFormat="false" ht="15" hidden="false" customHeight="false" outlineLevel="0" collapsed="false">
      <c r="A24" s="15" t="str">
        <f aca="false">Categorias!$C$14</f>
        <v>Escola, faculdade e cursos</v>
      </c>
      <c r="B24" s="30" t="n">
        <f aca="false">Jul!B24</f>
        <v>400</v>
      </c>
      <c r="C24" s="28"/>
      <c r="D24" s="25" t="n">
        <f aca="false">IF(AND(B24="",C24=""),"",N(C24)-N(B24))</f>
        <v>-400</v>
      </c>
      <c r="E24" s="5"/>
    </row>
    <row r="25" customFormat="false" ht="15" hidden="false" customHeight="false" outlineLevel="0" collapsed="false">
      <c r="A25" s="15" t="str">
        <f aca="false">Categorias!$C$15</f>
        <v>Seguros mensais</v>
      </c>
      <c r="B25" s="30" t="n">
        <f aca="false">Jul!B25</f>
        <v>0</v>
      </c>
      <c r="C25" s="28"/>
      <c r="D25" s="25" t="n">
        <f aca="false">IF(AND(B25="",C25=""),"",N(C25)-N(B25))</f>
        <v>0</v>
      </c>
      <c r="E25" s="5"/>
    </row>
    <row r="26" customFormat="false" ht="15" hidden="false" customHeight="false" outlineLevel="0" collapsed="false">
      <c r="A26" s="15" t="str">
        <f aca="false">Categorias!$C$16</f>
        <v>Outras parcelas e mensalidades</v>
      </c>
      <c r="B26" s="30" t="n">
        <f aca="false">Jul!B26</f>
        <v>0</v>
      </c>
      <c r="C26" s="28"/>
      <c r="D26" s="25" t="n">
        <f aca="false">IF(AND(B26="",C26=""),"",N(C26)-N(B26))</f>
        <v>0</v>
      </c>
      <c r="E26" s="5"/>
    </row>
    <row r="27" customFormat="false" ht="15" hidden="false" customHeight="false" outlineLevel="0" collapsed="false">
      <c r="A27" s="19" t="s">
        <v>141</v>
      </c>
      <c r="B27" s="20" t="n">
        <f aca="false">SUM(B22:B26)</f>
        <v>1300</v>
      </c>
      <c r="C27" s="20" t="n">
        <f aca="false">SUM(C22:C26)</f>
        <v>0</v>
      </c>
      <c r="D27" s="20" t="n">
        <f aca="false">N(C27)-N(B27)</f>
        <v>-1300</v>
      </c>
      <c r="E27" s="29"/>
    </row>
    <row r="29" customFormat="false" ht="15" hidden="false" customHeight="false" outlineLevel="0" collapsed="false">
      <c r="A29" s="13" t="s">
        <v>142</v>
      </c>
      <c r="B29" s="14"/>
      <c r="C29" s="14"/>
      <c r="D29" s="14"/>
      <c r="E29" s="14"/>
    </row>
    <row r="30" customFormat="false" ht="15" hidden="false" customHeight="false" outlineLevel="0" collapsed="false">
      <c r="A30" s="15" t="s">
        <v>143</v>
      </c>
      <c r="B30" s="30" t="n">
        <f aca="false">Irregulares!$C$28</f>
        <v>500</v>
      </c>
      <c r="C30" s="30" t="str">
        <f aca="false">IF(N(C8)=0,"",Irregulares!$C$28)</f>
        <v/>
      </c>
      <c r="D30" s="25" t="n">
        <f aca="false">N(C30)-N(B30)</f>
        <v>-500</v>
      </c>
    </row>
    <row r="31" customFormat="false" ht="15" hidden="false" customHeight="false" outlineLevel="0" collapsed="false">
      <c r="A31" s="15" t="s">
        <v>144</v>
      </c>
      <c r="B31" s="30" t="n">
        <f aca="false">SUMIF(Irregulares!$D$6:$D$25,8,Irregulares!$C$6:$C$25)</f>
        <v>0</v>
      </c>
      <c r="C31" s="28"/>
      <c r="D31" s="25" t="n">
        <f aca="false">IF(AND(B31="",C31=""),"",N(C31)-N(B31))</f>
        <v>0</v>
      </c>
      <c r="E31" s="2" t="s">
        <v>145</v>
      </c>
    </row>
    <row r="33" customFormat="false" ht="15" hidden="false" customHeight="false" outlineLevel="0" collapsed="false">
      <c r="A33" s="31" t="s">
        <v>146</v>
      </c>
      <c r="B33" s="32" t="n">
        <f aca="false">B8-B19-B27-N(B30)</f>
        <v>2000</v>
      </c>
      <c r="C33" s="32" t="str">
        <f aca="false">IF(N(C8)=0,"",C8-C19-C27-N(C30))</f>
        <v/>
      </c>
      <c r="D33" s="32" t="n">
        <f aca="false">N(C33)-N(B33)</f>
        <v>-2000</v>
      </c>
      <c r="E33" s="33"/>
    </row>
    <row r="35" customFormat="false" ht="15" hidden="false" customHeight="false" outlineLevel="0" collapsed="false">
      <c r="A35" s="13" t="s">
        <v>147</v>
      </c>
      <c r="B35" s="14"/>
      <c r="C35" s="14"/>
      <c r="D35" s="14"/>
      <c r="E35" s="14"/>
    </row>
    <row r="36" customFormat="false" ht="15" hidden="false" customHeight="false" outlineLevel="0" collapsed="false">
      <c r="A36" s="15" t="str">
        <f aca="false">Categorias!$C$17</f>
        <v>Restaurantes e delivery</v>
      </c>
      <c r="B36" s="30" t="n">
        <f aca="false">Jul!B36</f>
        <v>150</v>
      </c>
      <c r="C36" s="28"/>
      <c r="D36" s="25" t="n">
        <f aca="false">IF(AND(B36="",C36=""),"",N(C36)-N(B36))</f>
        <v>-150</v>
      </c>
      <c r="E36" s="5"/>
    </row>
    <row r="37" customFormat="false" ht="15" hidden="false" customHeight="false" outlineLevel="0" collapsed="false">
      <c r="A37" s="15" t="str">
        <f aca="false">Categorias!$C$18</f>
        <v>Lazer e passeios</v>
      </c>
      <c r="B37" s="30" t="n">
        <f aca="false">Jul!B37</f>
        <v>120</v>
      </c>
      <c r="C37" s="28"/>
      <c r="D37" s="25" t="n">
        <f aca="false">IF(AND(B37="",C37=""),"",N(C37)-N(B37))</f>
        <v>-120</v>
      </c>
      <c r="E37" s="5"/>
    </row>
    <row r="38" customFormat="false" ht="15" hidden="false" customHeight="false" outlineLevel="0" collapsed="false">
      <c r="A38" s="15" t="str">
        <f aca="false">Categorias!$C$19</f>
        <v>Compras (roupas, eletrônicos, casa)</v>
      </c>
      <c r="B38" s="30" t="n">
        <f aca="false">Jul!B38</f>
        <v>80</v>
      </c>
      <c r="C38" s="28"/>
      <c r="D38" s="25" t="n">
        <f aca="false">IF(AND(B38="",C38=""),"",N(C38)-N(B38))</f>
        <v>-80</v>
      </c>
      <c r="E38" s="5"/>
    </row>
    <row r="39" customFormat="false" ht="15" hidden="false" customHeight="false" outlineLevel="0" collapsed="false">
      <c r="A39" s="15" t="str">
        <f aca="false">Categorias!$C$20</f>
        <v>Assinaturas e aplicativos</v>
      </c>
      <c r="B39" s="30" t="n">
        <f aca="false">Jul!B39</f>
        <v>50</v>
      </c>
      <c r="C39" s="28"/>
      <c r="D39" s="25" t="n">
        <f aca="false">IF(AND(B39="",C39=""),"",N(C39)-N(B39))</f>
        <v>-50</v>
      </c>
      <c r="E39" s="5"/>
    </row>
    <row r="40" customFormat="false" ht="15" hidden="false" customHeight="false" outlineLevel="0" collapsed="false">
      <c r="A40" s="15" t="str">
        <f aca="false">Categorias!$C$21</f>
        <v>Cuidados pessoais</v>
      </c>
      <c r="B40" s="30" t="n">
        <f aca="false">Jul!B40</f>
        <v>0</v>
      </c>
      <c r="C40" s="28"/>
      <c r="D40" s="25" t="n">
        <f aca="false">IF(AND(B40="",C40=""),"",N(C40)-N(B40))</f>
        <v>0</v>
      </c>
      <c r="E40" s="5"/>
    </row>
    <row r="41" customFormat="false" ht="15" hidden="false" customHeight="false" outlineLevel="0" collapsed="false">
      <c r="A41" s="15" t="str">
        <f aca="false">Categorias!$C$22</f>
        <v>Presentes e outros</v>
      </c>
      <c r="B41" s="30" t="n">
        <f aca="false">Jul!B41</f>
        <v>0</v>
      </c>
      <c r="C41" s="28"/>
      <c r="D41" s="25" t="n">
        <f aca="false">IF(AND(B41="",C41=""),"",N(C41)-N(B41))</f>
        <v>0</v>
      </c>
      <c r="E41" s="5"/>
    </row>
    <row r="42" customFormat="false" ht="15" hidden="false" customHeight="false" outlineLevel="0" collapsed="false">
      <c r="A42" s="19" t="s">
        <v>148</v>
      </c>
      <c r="B42" s="20" t="n">
        <f aca="false">SUM(B36:B41)</f>
        <v>400</v>
      </c>
      <c r="C42" s="20" t="n">
        <f aca="false">SUM(C36:C41)</f>
        <v>0</v>
      </c>
      <c r="D42" s="20" t="n">
        <f aca="false">N(C42)-N(B42)</f>
        <v>-400</v>
      </c>
      <c r="E42" s="29"/>
    </row>
    <row r="43" customFormat="false" ht="15" hidden="false" customHeight="false" outlineLevel="0" collapsed="false">
      <c r="A43" s="31" t="s">
        <v>149</v>
      </c>
      <c r="B43" s="32" t="n">
        <f aca="false">N(B33)-B42</f>
        <v>1600</v>
      </c>
      <c r="C43" s="32" t="str">
        <f aca="false">IF(N(C8)=0,"",N(C33)-C42)</f>
        <v/>
      </c>
      <c r="D43" s="32" t="n">
        <f aca="false">N(C43)-N(B43)</f>
        <v>-1600</v>
      </c>
      <c r="E43" s="33"/>
    </row>
    <row r="45" customFormat="false" ht="15" hidden="false" customHeight="false" outlineLevel="0" collapsed="false">
      <c r="A45" s="13" t="s">
        <v>150</v>
      </c>
      <c r="B45" s="14"/>
      <c r="C45" s="14"/>
      <c r="D45" s="14"/>
      <c r="E45" s="14"/>
    </row>
    <row r="46" customFormat="false" ht="15" hidden="false" customHeight="false" outlineLevel="0" collapsed="false">
      <c r="A46" s="15" t="s">
        <v>151</v>
      </c>
      <c r="B46" s="30" t="n">
        <f aca="false">Jul!B46</f>
        <v>0</v>
      </c>
      <c r="C46" s="28"/>
      <c r="D46" s="25" t="n">
        <f aca="false">IF(AND(B46="",C46=""),"",N(C46)-N(B46))</f>
        <v>0</v>
      </c>
      <c r="E46" s="5"/>
    </row>
    <row r="47" customFormat="false" ht="15" hidden="false" customHeight="false" outlineLevel="0" collapsed="false">
      <c r="A47" s="15" t="s">
        <v>34</v>
      </c>
      <c r="B47" s="30" t="n">
        <f aca="false">Jul!B47</f>
        <v>1000</v>
      </c>
      <c r="C47" s="28"/>
      <c r="D47" s="25" t="n">
        <f aca="false">IF(AND(B47="",C47=""),"",N(C47)-N(B47))</f>
        <v>-1000</v>
      </c>
      <c r="E47" s="5"/>
    </row>
    <row r="48" customFormat="false" ht="15" hidden="false" customHeight="false" outlineLevel="0" collapsed="false">
      <c r="A48" s="15" t="s">
        <v>152</v>
      </c>
      <c r="B48" s="30" t="n">
        <f aca="false">Jul!B48</f>
        <v>120</v>
      </c>
      <c r="C48" s="28"/>
      <c r="D48" s="25" t="n">
        <f aca="false">IF(AND(B48="",C48=""),"",N(C48)-N(B48))</f>
        <v>-120</v>
      </c>
      <c r="E48" s="5"/>
    </row>
    <row r="49" customFormat="false" ht="15" hidden="false" customHeight="false" outlineLevel="0" collapsed="false">
      <c r="A49" s="15" t="str">
        <f aca="false">IF(Metas!$B$6="","Meta 1 (aba Metas)","Meta 1: "&amp;Metas!$B$6)</f>
        <v>Meta 1: Entrada do apartamento</v>
      </c>
      <c r="B49" s="30" t="n">
        <f aca="false">Jul!B49</f>
        <v>480</v>
      </c>
      <c r="C49" s="28"/>
      <c r="D49" s="25" t="n">
        <f aca="false">IF(AND(B49="",C49=""),"",N(C49)-N(B49))</f>
        <v>-480</v>
      </c>
      <c r="E49" s="5"/>
    </row>
    <row r="50" customFormat="false" ht="15" hidden="false" customHeight="false" outlineLevel="0" collapsed="false">
      <c r="A50" s="15" t="str">
        <f aca="false">IF(Metas!$B$7="","Meta 2 (aba Metas)","Meta 2: "&amp;Metas!$B$7)</f>
        <v>Meta 2: Faculdade do filho</v>
      </c>
      <c r="B50" s="30" t="n">
        <f aca="false">Jul!B50</f>
        <v>0</v>
      </c>
      <c r="C50" s="28"/>
      <c r="D50" s="25" t="n">
        <f aca="false">IF(AND(B50="",C50=""),"",N(C50)-N(B50))</f>
        <v>0</v>
      </c>
      <c r="E50" s="5"/>
    </row>
    <row r="51" customFormat="false" ht="15" hidden="false" customHeight="false" outlineLevel="0" collapsed="false">
      <c r="A51" s="15" t="str">
        <f aca="false">IF(Metas!$B$8="","Meta 3 (aba Metas)","Meta 3: "&amp;Metas!$B$8)</f>
        <v>Meta 3 (aba Metas)</v>
      </c>
      <c r="B51" s="30" t="n">
        <f aca="false">Jul!B51</f>
        <v>0</v>
      </c>
      <c r="C51" s="28"/>
      <c r="D51" s="25" t="n">
        <f aca="false">IF(AND(B51="",C51=""),"",N(C51)-N(B51))</f>
        <v>0</v>
      </c>
      <c r="E51" s="5"/>
    </row>
    <row r="52" customFormat="false" ht="15" hidden="false" customHeight="false" outlineLevel="0" collapsed="false">
      <c r="A52" s="15" t="str">
        <f aca="false">IF(Metas!$B$9="","Meta 4 (aba Metas)","Meta 4: "&amp;Metas!$B$9)</f>
        <v>Meta 4 (aba Metas)</v>
      </c>
      <c r="B52" s="30" t="n">
        <f aca="false">Jul!B52</f>
        <v>0</v>
      </c>
      <c r="C52" s="28"/>
      <c r="D52" s="25" t="n">
        <f aca="false">IF(AND(B52="",C52=""),"",N(C52)-N(B52))</f>
        <v>0</v>
      </c>
      <c r="E52" s="5"/>
    </row>
    <row r="53" customFormat="false" ht="15" hidden="false" customHeight="false" outlineLevel="0" collapsed="false">
      <c r="A53" s="15" t="str">
        <f aca="false">IF(Metas!$B$10="","Meta 5 (aba Metas)","Meta 5: "&amp;Metas!$B$10)</f>
        <v>Meta 5 (aba Metas)</v>
      </c>
      <c r="B53" s="30" t="n">
        <f aca="false">Jul!B53</f>
        <v>0</v>
      </c>
      <c r="C53" s="28"/>
      <c r="D53" s="25" t="n">
        <f aca="false">IF(AND(B53="",C53=""),"",N(C53)-N(B53))</f>
        <v>0</v>
      </c>
      <c r="E53" s="5"/>
    </row>
    <row r="54" customFormat="false" ht="15" hidden="false" customHeight="false" outlineLevel="0" collapsed="false">
      <c r="A54" s="15" t="s">
        <v>153</v>
      </c>
      <c r="B54" s="30" t="n">
        <f aca="false">Jul!B54</f>
        <v>0</v>
      </c>
      <c r="C54" s="28"/>
      <c r="D54" s="25" t="n">
        <f aca="false">IF(AND(B54="",C54=""),"",N(C54)-N(B54))</f>
        <v>0</v>
      </c>
      <c r="E54" s="5"/>
    </row>
    <row r="55" customFormat="false" ht="15" hidden="false" customHeight="false" outlineLevel="0" collapsed="false">
      <c r="A55" s="19" t="s">
        <v>119</v>
      </c>
      <c r="B55" s="20" t="n">
        <f aca="false">SUM(B46:B54)</f>
        <v>1600</v>
      </c>
      <c r="C55" s="20" t="n">
        <f aca="false">SUM(C46:C54)</f>
        <v>0</v>
      </c>
      <c r="D55" s="20" t="n">
        <f aca="false">N(C55)-N(B55)</f>
        <v>-1600</v>
      </c>
      <c r="E55" s="29"/>
    </row>
    <row r="57" customFormat="false" ht="15" hidden="false" customHeight="false" outlineLevel="0" collapsed="false">
      <c r="A57" s="31" t="s">
        <v>154</v>
      </c>
      <c r="B57" s="32" t="n">
        <f aca="false">N(B43)-B55+N(B9)</f>
        <v>0</v>
      </c>
      <c r="C57" s="32" t="str">
        <f aca="false">IF(N(C8)=0,"",N(C43)-C55+N(C9))</f>
        <v/>
      </c>
      <c r="D57" s="32" t="n">
        <f aca="false">N(C57)-N(B57)</f>
        <v>0</v>
      </c>
      <c r="E57" s="34" t="s">
        <v>155</v>
      </c>
    </row>
    <row r="59" customFormat="false" ht="15" hidden="false" customHeight="false" outlineLevel="0" collapsed="false">
      <c r="A59" s="13" t="s">
        <v>156</v>
      </c>
      <c r="B59" s="14"/>
      <c r="C59" s="14"/>
      <c r="D59" s="14"/>
      <c r="E59" s="14"/>
    </row>
    <row r="60" customFormat="false" ht="15" hidden="false" customHeight="false" outlineLevel="0" collapsed="false">
      <c r="A60" s="15" t="s">
        <v>126</v>
      </c>
      <c r="C60" s="27" t="n">
        <f aca="false">IFERROR((C55-N(C48))/C10,0)</f>
        <v>0</v>
      </c>
    </row>
    <row r="61" customFormat="false" ht="15" hidden="false" customHeight="false" outlineLevel="0" collapsed="false">
      <c r="A61" s="15" t="s">
        <v>157</v>
      </c>
      <c r="C61" s="27" t="n">
        <f aca="false">IFERROR((C19+C27+N(C30))/C8,0)</f>
        <v>0</v>
      </c>
    </row>
    <row r="62" customFormat="false" ht="15" hidden="false" customHeight="false" outlineLevel="0" collapsed="false">
      <c r="A62" s="15" t="s">
        <v>158</v>
      </c>
      <c r="C62" s="27" t="n">
        <f aca="false">IFERROR(C42/C8,0)</f>
        <v>0</v>
      </c>
    </row>
    <row r="63" customFormat="false" ht="15" hidden="false" customHeight="false" outlineLevel="0" collapsed="false">
      <c r="A63" s="15" t="s">
        <v>159</v>
      </c>
      <c r="C63" s="27" t="n">
        <f aca="false">IFERROR(C55/C8,0)</f>
        <v>0</v>
      </c>
    </row>
    <row r="64" customFormat="false" ht="15" hidden="false" customHeight="false" outlineLevel="0" collapsed="false">
      <c r="A64" s="2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A1:E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tr">
        <f aca="false">"Orçamento de setembro de "&amp;Início!$C$5</f>
        <v>Orçamento de setembro de 2026</v>
      </c>
    </row>
    <row r="2" customFormat="false" ht="15" hidden="false" customHeight="false" outlineLevel="0" collapsed="false">
      <c r="A2" s="2" t="s">
        <v>168</v>
      </c>
    </row>
    <row r="3" customFormat="false" ht="15" hidden="false" customHeight="false" outlineLevel="0" collapsed="false">
      <c r="A3" s="22" t="s">
        <v>130</v>
      </c>
      <c r="B3" s="22" t="s">
        <v>131</v>
      </c>
      <c r="C3" s="22" t="s">
        <v>132</v>
      </c>
      <c r="D3" s="22" t="s">
        <v>133</v>
      </c>
      <c r="E3" s="22" t="s">
        <v>134</v>
      </c>
    </row>
    <row r="4" customFormat="false" ht="15" hidden="false" customHeight="false" outlineLevel="0" collapsed="false">
      <c r="A4" s="13" t="s">
        <v>135</v>
      </c>
      <c r="B4" s="14"/>
      <c r="C4" s="14"/>
      <c r="D4" s="14"/>
      <c r="E4" s="14"/>
    </row>
    <row r="5" customFormat="false" ht="15" hidden="false" customHeight="false" outlineLevel="0" collapsed="false">
      <c r="A5" s="15" t="str">
        <f aca="false">"Renda líquida de "&amp;Início!$C$6</f>
        <v>Renda líquida de Paula</v>
      </c>
      <c r="B5" s="30" t="n">
        <f aca="false">Ago!B5</f>
        <v>4500</v>
      </c>
      <c r="C5" s="28"/>
      <c r="D5" s="25" t="n">
        <f aca="false">IF(AND(B5="",C5=""),"",N(C5)-N(B5))</f>
        <v>-4500</v>
      </c>
      <c r="E5" s="5"/>
    </row>
    <row r="6" customFormat="false" ht="15" hidden="false" customHeight="false" outlineLevel="0" collapsed="false">
      <c r="A6" s="15" t="str">
        <f aca="false">"Renda líquida de "&amp;Início!$C$7</f>
        <v>Renda líquida de Marcos</v>
      </c>
      <c r="B6" s="30" t="n">
        <f aca="false">Ago!B6</f>
        <v>3500</v>
      </c>
      <c r="C6" s="28"/>
      <c r="D6" s="25" t="n">
        <f aca="false">IF(AND(B6="",C6=""),"",N(C6)-N(B6))</f>
        <v>-3500</v>
      </c>
      <c r="E6" s="5"/>
    </row>
    <row r="7" customFormat="false" ht="15" hidden="false" customHeight="false" outlineLevel="0" collapsed="false">
      <c r="A7" s="15" t="s">
        <v>136</v>
      </c>
      <c r="B7" s="30" t="n">
        <f aca="false">Ago!B7</f>
        <v>0</v>
      </c>
      <c r="C7" s="28"/>
      <c r="D7" s="25" t="str">
        <f aca="false">IF(AND(B7="",C7=""),"",N(C7)-N(B7))</f>
        <v/>
      </c>
      <c r="E7" s="5"/>
    </row>
    <row r="8" customFormat="false" ht="15" hidden="false" customHeight="false" outlineLevel="0" collapsed="false">
      <c r="A8" s="19" t="s">
        <v>110</v>
      </c>
      <c r="B8" s="20" t="n">
        <f aca="false">SUM(B5:B7)</f>
        <v>8000</v>
      </c>
      <c r="C8" s="20" t="n">
        <f aca="false">SUM(C5:C7)</f>
        <v>0</v>
      </c>
      <c r="D8" s="20" t="n">
        <f aca="false">N(C8)-N(B8)</f>
        <v>-8000</v>
      </c>
      <c r="E8" s="29"/>
    </row>
    <row r="9" customFormat="false" ht="15" hidden="false" customHeight="false" outlineLevel="0" collapsed="false">
      <c r="A9" s="15" t="s">
        <v>137</v>
      </c>
      <c r="B9" s="30" t="n">
        <f aca="false">Ago!B9</f>
        <v>0</v>
      </c>
      <c r="C9" s="28"/>
      <c r="D9" s="25" t="str">
        <f aca="false">IF(AND(B9="",C9=""),"",N(C9)-N(B9))</f>
        <v/>
      </c>
      <c r="E9" s="5"/>
    </row>
    <row r="10" customFormat="false" ht="15" hidden="false" customHeight="false" outlineLevel="0" collapsed="false">
      <c r="A10" s="19" t="s">
        <v>111</v>
      </c>
      <c r="B10" s="20" t="n">
        <f aca="false">B8+N(B9)</f>
        <v>8000</v>
      </c>
      <c r="C10" s="20" t="n">
        <f aca="false">C8+N(C9)</f>
        <v>0</v>
      </c>
      <c r="D10" s="20" t="n">
        <f aca="false">N(C10)-N(B10)</f>
        <v>-8000</v>
      </c>
      <c r="E10" s="29"/>
    </row>
    <row r="12" customFormat="false" ht="15" hidden="false" customHeight="false" outlineLevel="0" collapsed="false">
      <c r="A12" s="13" t="s">
        <v>138</v>
      </c>
      <c r="B12" s="14"/>
      <c r="C12" s="14"/>
      <c r="D12" s="14"/>
      <c r="E12" s="14"/>
    </row>
    <row r="13" customFormat="false" ht="15" hidden="false" customHeight="false" outlineLevel="0" collapsed="false">
      <c r="A13" s="15" t="str">
        <f aca="false">Categorias!$C$6</f>
        <v>Moradia (aluguel ou prestação, condomínio)</v>
      </c>
      <c r="B13" s="30" t="n">
        <f aca="false">Ago!B13</f>
        <v>2000</v>
      </c>
      <c r="C13" s="28"/>
      <c r="D13" s="25" t="n">
        <f aca="false">IF(AND(B13="",C13=""),"",N(C13)-N(B13))</f>
        <v>-2000</v>
      </c>
      <c r="E13" s="5"/>
    </row>
    <row r="14" customFormat="false" ht="15" hidden="false" customHeight="false" outlineLevel="0" collapsed="false">
      <c r="A14" s="15" t="str">
        <f aca="false">Categorias!$C$7</f>
        <v>Contas da casa (luz, água, gás, internet, celular)</v>
      </c>
      <c r="B14" s="30" t="n">
        <f aca="false">Ago!B14</f>
        <v>450</v>
      </c>
      <c r="C14" s="28"/>
      <c r="D14" s="25" t="n">
        <f aca="false">IF(AND(B14="",C14=""),"",N(C14)-N(B14))</f>
        <v>-450</v>
      </c>
      <c r="E14" s="5"/>
    </row>
    <row r="15" customFormat="false" ht="15" hidden="false" customHeight="false" outlineLevel="0" collapsed="false">
      <c r="A15" s="15" t="str">
        <f aca="false">Categorias!$C$8</f>
        <v>Alimentação (supermercado e feira)</v>
      </c>
      <c r="B15" s="30" t="n">
        <f aca="false">Ago!B15</f>
        <v>1150</v>
      </c>
      <c r="C15" s="28"/>
      <c r="D15" s="25" t="n">
        <f aca="false">IF(AND(B15="",C15=""),"",N(C15)-N(B15))</f>
        <v>-1150</v>
      </c>
      <c r="E15" s="5"/>
    </row>
    <row r="16" customFormat="false" ht="15" hidden="false" customHeight="false" outlineLevel="0" collapsed="false">
      <c r="A16" s="15" t="str">
        <f aca="false">Categorias!$C$9</f>
        <v>Transporte (combustível, transporte público, aplicativo)</v>
      </c>
      <c r="B16" s="30" t="n">
        <f aca="false">Ago!B16</f>
        <v>350</v>
      </c>
      <c r="C16" s="28"/>
      <c r="D16" s="25" t="n">
        <f aca="false">IF(AND(B16="",C16=""),"",N(C16)-N(B16))</f>
        <v>-350</v>
      </c>
      <c r="E16" s="5"/>
    </row>
    <row r="17" customFormat="false" ht="15" hidden="false" customHeight="false" outlineLevel="0" collapsed="false">
      <c r="A17" s="15" t="str">
        <f aca="false">Categorias!$C$10</f>
        <v>Saúde (plano, farmácia, consultas)</v>
      </c>
      <c r="B17" s="30" t="n">
        <f aca="false">Ago!B17</f>
        <v>250</v>
      </c>
      <c r="C17" s="28"/>
      <c r="D17" s="25" t="n">
        <f aca="false">IF(AND(B17="",C17=""),"",N(C17)-N(B17))</f>
        <v>-250</v>
      </c>
      <c r="E17" s="5"/>
    </row>
    <row r="18" customFormat="false" ht="15" hidden="false" customHeight="false" outlineLevel="0" collapsed="false">
      <c r="A18" s="15" t="str">
        <f aca="false">Categorias!$C$11</f>
        <v>Outros essenciais</v>
      </c>
      <c r="B18" s="30" t="n">
        <f aca="false">Ago!B18</f>
        <v>0</v>
      </c>
      <c r="C18" s="28"/>
      <c r="D18" s="25" t="n">
        <f aca="false">IF(AND(B18="",C18=""),"",N(C18)-N(B18))</f>
        <v>0</v>
      </c>
      <c r="E18" s="5"/>
    </row>
    <row r="19" customFormat="false" ht="15" hidden="false" customHeight="false" outlineLevel="0" collapsed="false">
      <c r="A19" s="19" t="s">
        <v>139</v>
      </c>
      <c r="B19" s="20" t="n">
        <f aca="false">SUM(B13:B18)</f>
        <v>4200</v>
      </c>
      <c r="C19" s="20" t="n">
        <f aca="false">SUM(C13:C18)</f>
        <v>0</v>
      </c>
      <c r="D19" s="20" t="n">
        <f aca="false">N(C19)-N(B19)</f>
        <v>-4200</v>
      </c>
      <c r="E19" s="29"/>
    </row>
    <row r="21" customFormat="false" ht="15" hidden="false" customHeight="false" outlineLevel="0" collapsed="false">
      <c r="A21" s="13" t="s">
        <v>140</v>
      </c>
      <c r="B21" s="14"/>
      <c r="C21" s="14"/>
      <c r="D21" s="14"/>
      <c r="E21" s="14"/>
    </row>
    <row r="22" customFormat="false" ht="15" hidden="false" customHeight="false" outlineLevel="0" collapsed="false">
      <c r="A22" s="15" t="str">
        <f aca="false">Categorias!$C$12</f>
        <v>Financiamento ou empréstimo</v>
      </c>
      <c r="B22" s="30" t="n">
        <f aca="false">Ago!B22</f>
        <v>0</v>
      </c>
      <c r="C22" s="28"/>
      <c r="D22" s="25" t="n">
        <f aca="false">IF(AND(B22="",C22=""),"",N(C22)-N(B22))</f>
        <v>0</v>
      </c>
      <c r="E22" s="5"/>
    </row>
    <row r="23" customFormat="false" ht="15" hidden="false" customHeight="false" outlineLevel="0" collapsed="false">
      <c r="A23" s="15" t="str">
        <f aca="false">Categorias!$C$13</f>
        <v>Parcela do carro</v>
      </c>
      <c r="B23" s="30" t="n">
        <f aca="false">Ago!B23</f>
        <v>900</v>
      </c>
      <c r="C23" s="28"/>
      <c r="D23" s="25" t="n">
        <f aca="false">IF(AND(B23="",C23=""),"",N(C23)-N(B23))</f>
        <v>-900</v>
      </c>
      <c r="E23" s="5"/>
    </row>
    <row r="24" customFormat="false" ht="15" hidden="false" customHeight="false" outlineLevel="0" collapsed="false">
      <c r="A24" s="15" t="str">
        <f aca="false">Categorias!$C$14</f>
        <v>Escola, faculdade e cursos</v>
      </c>
      <c r="B24" s="30" t="n">
        <f aca="false">Ago!B24</f>
        <v>400</v>
      </c>
      <c r="C24" s="28"/>
      <c r="D24" s="25" t="n">
        <f aca="false">IF(AND(B24="",C24=""),"",N(C24)-N(B24))</f>
        <v>-400</v>
      </c>
      <c r="E24" s="5"/>
    </row>
    <row r="25" customFormat="false" ht="15" hidden="false" customHeight="false" outlineLevel="0" collapsed="false">
      <c r="A25" s="15" t="str">
        <f aca="false">Categorias!$C$15</f>
        <v>Seguros mensais</v>
      </c>
      <c r="B25" s="30" t="n">
        <f aca="false">Ago!B25</f>
        <v>0</v>
      </c>
      <c r="C25" s="28"/>
      <c r="D25" s="25" t="n">
        <f aca="false">IF(AND(B25="",C25=""),"",N(C25)-N(B25))</f>
        <v>0</v>
      </c>
      <c r="E25" s="5"/>
    </row>
    <row r="26" customFormat="false" ht="15" hidden="false" customHeight="false" outlineLevel="0" collapsed="false">
      <c r="A26" s="15" t="str">
        <f aca="false">Categorias!$C$16</f>
        <v>Outras parcelas e mensalidades</v>
      </c>
      <c r="B26" s="30" t="n">
        <f aca="false">Ago!B26</f>
        <v>0</v>
      </c>
      <c r="C26" s="28"/>
      <c r="D26" s="25" t="n">
        <f aca="false">IF(AND(B26="",C26=""),"",N(C26)-N(B26))</f>
        <v>0</v>
      </c>
      <c r="E26" s="5"/>
    </row>
    <row r="27" customFormat="false" ht="15" hidden="false" customHeight="false" outlineLevel="0" collapsed="false">
      <c r="A27" s="19" t="s">
        <v>141</v>
      </c>
      <c r="B27" s="20" t="n">
        <f aca="false">SUM(B22:B26)</f>
        <v>1300</v>
      </c>
      <c r="C27" s="20" t="n">
        <f aca="false">SUM(C22:C26)</f>
        <v>0</v>
      </c>
      <c r="D27" s="20" t="n">
        <f aca="false">N(C27)-N(B27)</f>
        <v>-1300</v>
      </c>
      <c r="E27" s="29"/>
    </row>
    <row r="29" customFormat="false" ht="15" hidden="false" customHeight="false" outlineLevel="0" collapsed="false">
      <c r="A29" s="13" t="s">
        <v>142</v>
      </c>
      <c r="B29" s="14"/>
      <c r="C29" s="14"/>
      <c r="D29" s="14"/>
      <c r="E29" s="14"/>
    </row>
    <row r="30" customFormat="false" ht="15" hidden="false" customHeight="false" outlineLevel="0" collapsed="false">
      <c r="A30" s="15" t="s">
        <v>143</v>
      </c>
      <c r="B30" s="30" t="n">
        <f aca="false">Irregulares!$C$28</f>
        <v>500</v>
      </c>
      <c r="C30" s="30" t="str">
        <f aca="false">IF(N(C8)=0,"",Irregulares!$C$28)</f>
        <v/>
      </c>
      <c r="D30" s="25" t="n">
        <f aca="false">N(C30)-N(B30)</f>
        <v>-500</v>
      </c>
    </row>
    <row r="31" customFormat="false" ht="15" hidden="false" customHeight="false" outlineLevel="0" collapsed="false">
      <c r="A31" s="15" t="s">
        <v>144</v>
      </c>
      <c r="B31" s="30" t="n">
        <f aca="false">SUMIF(Irregulares!$D$6:$D$25,9,Irregulares!$C$6:$C$25)</f>
        <v>0</v>
      </c>
      <c r="C31" s="28"/>
      <c r="D31" s="25" t="n">
        <f aca="false">IF(AND(B31="",C31=""),"",N(C31)-N(B31))</f>
        <v>0</v>
      </c>
      <c r="E31" s="2" t="s">
        <v>145</v>
      </c>
    </row>
    <row r="33" customFormat="false" ht="15" hidden="false" customHeight="false" outlineLevel="0" collapsed="false">
      <c r="A33" s="31" t="s">
        <v>146</v>
      </c>
      <c r="B33" s="32" t="n">
        <f aca="false">B8-B19-B27-N(B30)</f>
        <v>2000</v>
      </c>
      <c r="C33" s="32" t="str">
        <f aca="false">IF(N(C8)=0,"",C8-C19-C27-N(C30))</f>
        <v/>
      </c>
      <c r="D33" s="32" t="n">
        <f aca="false">N(C33)-N(B33)</f>
        <v>-2000</v>
      </c>
      <c r="E33" s="33"/>
    </row>
    <row r="35" customFormat="false" ht="15" hidden="false" customHeight="false" outlineLevel="0" collapsed="false">
      <c r="A35" s="13" t="s">
        <v>147</v>
      </c>
      <c r="B35" s="14"/>
      <c r="C35" s="14"/>
      <c r="D35" s="14"/>
      <c r="E35" s="14"/>
    </row>
    <row r="36" customFormat="false" ht="15" hidden="false" customHeight="false" outlineLevel="0" collapsed="false">
      <c r="A36" s="15" t="str">
        <f aca="false">Categorias!$C$17</f>
        <v>Restaurantes e delivery</v>
      </c>
      <c r="B36" s="30" t="n">
        <f aca="false">Ago!B36</f>
        <v>150</v>
      </c>
      <c r="C36" s="28"/>
      <c r="D36" s="25" t="n">
        <f aca="false">IF(AND(B36="",C36=""),"",N(C36)-N(B36))</f>
        <v>-150</v>
      </c>
      <c r="E36" s="5"/>
    </row>
    <row r="37" customFormat="false" ht="15" hidden="false" customHeight="false" outlineLevel="0" collapsed="false">
      <c r="A37" s="15" t="str">
        <f aca="false">Categorias!$C$18</f>
        <v>Lazer e passeios</v>
      </c>
      <c r="B37" s="30" t="n">
        <f aca="false">Ago!B37</f>
        <v>120</v>
      </c>
      <c r="C37" s="28"/>
      <c r="D37" s="25" t="n">
        <f aca="false">IF(AND(B37="",C37=""),"",N(C37)-N(B37))</f>
        <v>-120</v>
      </c>
      <c r="E37" s="5"/>
    </row>
    <row r="38" customFormat="false" ht="15" hidden="false" customHeight="false" outlineLevel="0" collapsed="false">
      <c r="A38" s="15" t="str">
        <f aca="false">Categorias!$C$19</f>
        <v>Compras (roupas, eletrônicos, casa)</v>
      </c>
      <c r="B38" s="30" t="n">
        <f aca="false">Ago!B38</f>
        <v>80</v>
      </c>
      <c r="C38" s="28"/>
      <c r="D38" s="25" t="n">
        <f aca="false">IF(AND(B38="",C38=""),"",N(C38)-N(B38))</f>
        <v>-80</v>
      </c>
      <c r="E38" s="5"/>
    </row>
    <row r="39" customFormat="false" ht="15" hidden="false" customHeight="false" outlineLevel="0" collapsed="false">
      <c r="A39" s="15" t="str">
        <f aca="false">Categorias!$C$20</f>
        <v>Assinaturas e aplicativos</v>
      </c>
      <c r="B39" s="30" t="n">
        <f aca="false">Ago!B39</f>
        <v>50</v>
      </c>
      <c r="C39" s="28"/>
      <c r="D39" s="25" t="n">
        <f aca="false">IF(AND(B39="",C39=""),"",N(C39)-N(B39))</f>
        <v>-50</v>
      </c>
      <c r="E39" s="5"/>
    </row>
    <row r="40" customFormat="false" ht="15" hidden="false" customHeight="false" outlineLevel="0" collapsed="false">
      <c r="A40" s="15" t="str">
        <f aca="false">Categorias!$C$21</f>
        <v>Cuidados pessoais</v>
      </c>
      <c r="B40" s="30" t="n">
        <f aca="false">Ago!B40</f>
        <v>0</v>
      </c>
      <c r="C40" s="28"/>
      <c r="D40" s="25" t="n">
        <f aca="false">IF(AND(B40="",C40=""),"",N(C40)-N(B40))</f>
        <v>0</v>
      </c>
      <c r="E40" s="5"/>
    </row>
    <row r="41" customFormat="false" ht="15" hidden="false" customHeight="false" outlineLevel="0" collapsed="false">
      <c r="A41" s="15" t="str">
        <f aca="false">Categorias!$C$22</f>
        <v>Presentes e outros</v>
      </c>
      <c r="B41" s="30" t="n">
        <f aca="false">Ago!B41</f>
        <v>0</v>
      </c>
      <c r="C41" s="28"/>
      <c r="D41" s="25" t="n">
        <f aca="false">IF(AND(B41="",C41=""),"",N(C41)-N(B41))</f>
        <v>0</v>
      </c>
      <c r="E41" s="5"/>
    </row>
    <row r="42" customFormat="false" ht="15" hidden="false" customHeight="false" outlineLevel="0" collapsed="false">
      <c r="A42" s="19" t="s">
        <v>148</v>
      </c>
      <c r="B42" s="20" t="n">
        <f aca="false">SUM(B36:B41)</f>
        <v>400</v>
      </c>
      <c r="C42" s="20" t="n">
        <f aca="false">SUM(C36:C41)</f>
        <v>0</v>
      </c>
      <c r="D42" s="20" t="n">
        <f aca="false">N(C42)-N(B42)</f>
        <v>-400</v>
      </c>
      <c r="E42" s="29"/>
    </row>
    <row r="43" customFormat="false" ht="15" hidden="false" customHeight="false" outlineLevel="0" collapsed="false">
      <c r="A43" s="31" t="s">
        <v>149</v>
      </c>
      <c r="B43" s="32" t="n">
        <f aca="false">N(B33)-B42</f>
        <v>1600</v>
      </c>
      <c r="C43" s="32" t="str">
        <f aca="false">IF(N(C8)=0,"",N(C33)-C42)</f>
        <v/>
      </c>
      <c r="D43" s="32" t="n">
        <f aca="false">N(C43)-N(B43)</f>
        <v>-1600</v>
      </c>
      <c r="E43" s="33"/>
    </row>
    <row r="45" customFormat="false" ht="15" hidden="false" customHeight="false" outlineLevel="0" collapsed="false">
      <c r="A45" s="13" t="s">
        <v>150</v>
      </c>
      <c r="B45" s="14"/>
      <c r="C45" s="14"/>
      <c r="D45" s="14"/>
      <c r="E45" s="14"/>
    </row>
    <row r="46" customFormat="false" ht="15" hidden="false" customHeight="false" outlineLevel="0" collapsed="false">
      <c r="A46" s="15" t="s">
        <v>151</v>
      </c>
      <c r="B46" s="30" t="n">
        <f aca="false">Ago!B46</f>
        <v>0</v>
      </c>
      <c r="C46" s="28"/>
      <c r="D46" s="25" t="n">
        <f aca="false">IF(AND(B46="",C46=""),"",N(C46)-N(B46))</f>
        <v>0</v>
      </c>
      <c r="E46" s="5"/>
    </row>
    <row r="47" customFormat="false" ht="15" hidden="false" customHeight="false" outlineLevel="0" collapsed="false">
      <c r="A47" s="15" t="s">
        <v>34</v>
      </c>
      <c r="B47" s="30" t="n">
        <f aca="false">Ago!B47</f>
        <v>1000</v>
      </c>
      <c r="C47" s="28"/>
      <c r="D47" s="25" t="n">
        <f aca="false">IF(AND(B47="",C47=""),"",N(C47)-N(B47))</f>
        <v>-1000</v>
      </c>
      <c r="E47" s="5"/>
    </row>
    <row r="48" customFormat="false" ht="15" hidden="false" customHeight="false" outlineLevel="0" collapsed="false">
      <c r="A48" s="15" t="s">
        <v>152</v>
      </c>
      <c r="B48" s="30" t="n">
        <f aca="false">Ago!B48</f>
        <v>120</v>
      </c>
      <c r="C48" s="28"/>
      <c r="D48" s="25" t="n">
        <f aca="false">IF(AND(B48="",C48=""),"",N(C48)-N(B48))</f>
        <v>-120</v>
      </c>
      <c r="E48" s="5"/>
    </row>
    <row r="49" customFormat="false" ht="15" hidden="false" customHeight="false" outlineLevel="0" collapsed="false">
      <c r="A49" s="15" t="str">
        <f aca="false">IF(Metas!$B$6="","Meta 1 (aba Metas)","Meta 1: "&amp;Metas!$B$6)</f>
        <v>Meta 1: Entrada do apartamento</v>
      </c>
      <c r="B49" s="30" t="n">
        <f aca="false">Ago!B49</f>
        <v>480</v>
      </c>
      <c r="C49" s="28"/>
      <c r="D49" s="25" t="n">
        <f aca="false">IF(AND(B49="",C49=""),"",N(C49)-N(B49))</f>
        <v>-480</v>
      </c>
      <c r="E49" s="5"/>
    </row>
    <row r="50" customFormat="false" ht="15" hidden="false" customHeight="false" outlineLevel="0" collapsed="false">
      <c r="A50" s="15" t="str">
        <f aca="false">IF(Metas!$B$7="","Meta 2 (aba Metas)","Meta 2: "&amp;Metas!$B$7)</f>
        <v>Meta 2: Faculdade do filho</v>
      </c>
      <c r="B50" s="30" t="n">
        <f aca="false">Ago!B50</f>
        <v>0</v>
      </c>
      <c r="C50" s="28"/>
      <c r="D50" s="25" t="n">
        <f aca="false">IF(AND(B50="",C50=""),"",N(C50)-N(B50))</f>
        <v>0</v>
      </c>
      <c r="E50" s="5"/>
    </row>
    <row r="51" customFormat="false" ht="15" hidden="false" customHeight="false" outlineLevel="0" collapsed="false">
      <c r="A51" s="15" t="str">
        <f aca="false">IF(Metas!$B$8="","Meta 3 (aba Metas)","Meta 3: "&amp;Metas!$B$8)</f>
        <v>Meta 3 (aba Metas)</v>
      </c>
      <c r="B51" s="30" t="n">
        <f aca="false">Ago!B51</f>
        <v>0</v>
      </c>
      <c r="C51" s="28"/>
      <c r="D51" s="25" t="n">
        <f aca="false">IF(AND(B51="",C51=""),"",N(C51)-N(B51))</f>
        <v>0</v>
      </c>
      <c r="E51" s="5"/>
    </row>
    <row r="52" customFormat="false" ht="15" hidden="false" customHeight="false" outlineLevel="0" collapsed="false">
      <c r="A52" s="15" t="str">
        <f aca="false">IF(Metas!$B$9="","Meta 4 (aba Metas)","Meta 4: "&amp;Metas!$B$9)</f>
        <v>Meta 4 (aba Metas)</v>
      </c>
      <c r="B52" s="30" t="n">
        <f aca="false">Ago!B52</f>
        <v>0</v>
      </c>
      <c r="C52" s="28"/>
      <c r="D52" s="25" t="n">
        <f aca="false">IF(AND(B52="",C52=""),"",N(C52)-N(B52))</f>
        <v>0</v>
      </c>
      <c r="E52" s="5"/>
    </row>
    <row r="53" customFormat="false" ht="15" hidden="false" customHeight="false" outlineLevel="0" collapsed="false">
      <c r="A53" s="15" t="str">
        <f aca="false">IF(Metas!$B$10="","Meta 5 (aba Metas)","Meta 5: "&amp;Metas!$B$10)</f>
        <v>Meta 5 (aba Metas)</v>
      </c>
      <c r="B53" s="30" t="n">
        <f aca="false">Ago!B53</f>
        <v>0</v>
      </c>
      <c r="C53" s="28"/>
      <c r="D53" s="25" t="n">
        <f aca="false">IF(AND(B53="",C53=""),"",N(C53)-N(B53))</f>
        <v>0</v>
      </c>
      <c r="E53" s="5"/>
    </row>
    <row r="54" customFormat="false" ht="15" hidden="false" customHeight="false" outlineLevel="0" collapsed="false">
      <c r="A54" s="15" t="s">
        <v>153</v>
      </c>
      <c r="B54" s="30" t="n">
        <f aca="false">Ago!B54</f>
        <v>0</v>
      </c>
      <c r="C54" s="28"/>
      <c r="D54" s="25" t="n">
        <f aca="false">IF(AND(B54="",C54=""),"",N(C54)-N(B54))</f>
        <v>0</v>
      </c>
      <c r="E54" s="5"/>
    </row>
    <row r="55" customFormat="false" ht="15" hidden="false" customHeight="false" outlineLevel="0" collapsed="false">
      <c r="A55" s="19" t="s">
        <v>119</v>
      </c>
      <c r="B55" s="20" t="n">
        <f aca="false">SUM(B46:B54)</f>
        <v>1600</v>
      </c>
      <c r="C55" s="20" t="n">
        <f aca="false">SUM(C46:C54)</f>
        <v>0</v>
      </c>
      <c r="D55" s="20" t="n">
        <f aca="false">N(C55)-N(B55)</f>
        <v>-1600</v>
      </c>
      <c r="E55" s="29"/>
    </row>
    <row r="57" customFormat="false" ht="15" hidden="false" customHeight="false" outlineLevel="0" collapsed="false">
      <c r="A57" s="31" t="s">
        <v>154</v>
      </c>
      <c r="B57" s="32" t="n">
        <f aca="false">N(B43)-B55+N(B9)</f>
        <v>0</v>
      </c>
      <c r="C57" s="32" t="str">
        <f aca="false">IF(N(C8)=0,"",N(C43)-C55+N(C9))</f>
        <v/>
      </c>
      <c r="D57" s="32" t="n">
        <f aca="false">N(C57)-N(B57)</f>
        <v>0</v>
      </c>
      <c r="E57" s="34" t="s">
        <v>155</v>
      </c>
    </row>
    <row r="59" customFormat="false" ht="15" hidden="false" customHeight="false" outlineLevel="0" collapsed="false">
      <c r="A59" s="13" t="s">
        <v>156</v>
      </c>
      <c r="B59" s="14"/>
      <c r="C59" s="14"/>
      <c r="D59" s="14"/>
      <c r="E59" s="14"/>
    </row>
    <row r="60" customFormat="false" ht="15" hidden="false" customHeight="false" outlineLevel="0" collapsed="false">
      <c r="A60" s="15" t="s">
        <v>126</v>
      </c>
      <c r="C60" s="27" t="n">
        <f aca="false">IFERROR((C55-N(C48))/C10,0)</f>
        <v>0</v>
      </c>
    </row>
    <row r="61" customFormat="false" ht="15" hidden="false" customHeight="false" outlineLevel="0" collapsed="false">
      <c r="A61" s="15" t="s">
        <v>157</v>
      </c>
      <c r="C61" s="27" t="n">
        <f aca="false">IFERROR((C19+C27+N(C30))/C8,0)</f>
        <v>0</v>
      </c>
    </row>
    <row r="62" customFormat="false" ht="15" hidden="false" customHeight="false" outlineLevel="0" collapsed="false">
      <c r="A62" s="15" t="s">
        <v>158</v>
      </c>
      <c r="C62" s="27" t="n">
        <f aca="false">IFERROR(C42/C8,0)</f>
        <v>0</v>
      </c>
    </row>
    <row r="63" customFormat="false" ht="15" hidden="false" customHeight="false" outlineLevel="0" collapsed="false">
      <c r="A63" s="15" t="s">
        <v>159</v>
      </c>
      <c r="C63" s="27" t="n">
        <f aca="false">IFERROR(C55/C8,0)</f>
        <v>0</v>
      </c>
    </row>
    <row r="64" customFormat="false" ht="15" hidden="false" customHeight="false" outlineLevel="0" collapsed="false">
      <c r="A64" s="2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A1:E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tr">
        <f aca="false">"Orçamento de outubro de "&amp;Início!$C$5</f>
        <v>Orçamento de outubro de 2026</v>
      </c>
    </row>
    <row r="2" customFormat="false" ht="15" hidden="false" customHeight="false" outlineLevel="0" collapsed="false">
      <c r="A2" s="2" t="s">
        <v>169</v>
      </c>
    </row>
    <row r="3" customFormat="false" ht="15" hidden="false" customHeight="false" outlineLevel="0" collapsed="false">
      <c r="A3" s="22" t="s">
        <v>130</v>
      </c>
      <c r="B3" s="22" t="s">
        <v>131</v>
      </c>
      <c r="C3" s="22" t="s">
        <v>132</v>
      </c>
      <c r="D3" s="22" t="s">
        <v>133</v>
      </c>
      <c r="E3" s="22" t="s">
        <v>134</v>
      </c>
    </row>
    <row r="4" customFormat="false" ht="15" hidden="false" customHeight="false" outlineLevel="0" collapsed="false">
      <c r="A4" s="13" t="s">
        <v>135</v>
      </c>
      <c r="B4" s="14"/>
      <c r="C4" s="14"/>
      <c r="D4" s="14"/>
      <c r="E4" s="14"/>
    </row>
    <row r="5" customFormat="false" ht="15" hidden="false" customHeight="false" outlineLevel="0" collapsed="false">
      <c r="A5" s="15" t="str">
        <f aca="false">"Renda líquida de "&amp;Início!$C$6</f>
        <v>Renda líquida de Paula</v>
      </c>
      <c r="B5" s="30" t="n">
        <f aca="false">Set!B5</f>
        <v>4500</v>
      </c>
      <c r="C5" s="28"/>
      <c r="D5" s="25" t="n">
        <f aca="false">IF(AND(B5="",C5=""),"",N(C5)-N(B5))</f>
        <v>-4500</v>
      </c>
      <c r="E5" s="5"/>
    </row>
    <row r="6" customFormat="false" ht="15" hidden="false" customHeight="false" outlineLevel="0" collapsed="false">
      <c r="A6" s="15" t="str">
        <f aca="false">"Renda líquida de "&amp;Início!$C$7</f>
        <v>Renda líquida de Marcos</v>
      </c>
      <c r="B6" s="30" t="n">
        <f aca="false">Set!B6</f>
        <v>3500</v>
      </c>
      <c r="C6" s="28"/>
      <c r="D6" s="25" t="n">
        <f aca="false">IF(AND(B6="",C6=""),"",N(C6)-N(B6))</f>
        <v>-3500</v>
      </c>
      <c r="E6" s="5"/>
    </row>
    <row r="7" customFormat="false" ht="15" hidden="false" customHeight="false" outlineLevel="0" collapsed="false">
      <c r="A7" s="15" t="s">
        <v>136</v>
      </c>
      <c r="B7" s="30" t="n">
        <f aca="false">Set!B7</f>
        <v>0</v>
      </c>
      <c r="C7" s="28"/>
      <c r="D7" s="25" t="str">
        <f aca="false">IF(AND(B7="",C7=""),"",N(C7)-N(B7))</f>
        <v/>
      </c>
      <c r="E7" s="5"/>
    </row>
    <row r="8" customFormat="false" ht="15" hidden="false" customHeight="false" outlineLevel="0" collapsed="false">
      <c r="A8" s="19" t="s">
        <v>110</v>
      </c>
      <c r="B8" s="20" t="n">
        <f aca="false">SUM(B5:B7)</f>
        <v>8000</v>
      </c>
      <c r="C8" s="20" t="n">
        <f aca="false">SUM(C5:C7)</f>
        <v>0</v>
      </c>
      <c r="D8" s="20" t="n">
        <f aca="false">N(C8)-N(B8)</f>
        <v>-8000</v>
      </c>
      <c r="E8" s="29"/>
    </row>
    <row r="9" customFormat="false" ht="15" hidden="false" customHeight="false" outlineLevel="0" collapsed="false">
      <c r="A9" s="15" t="s">
        <v>137</v>
      </c>
      <c r="B9" s="30" t="n">
        <f aca="false">Set!B9</f>
        <v>0</v>
      </c>
      <c r="C9" s="28"/>
      <c r="D9" s="25" t="str">
        <f aca="false">IF(AND(B9="",C9=""),"",N(C9)-N(B9))</f>
        <v/>
      </c>
      <c r="E9" s="5"/>
    </row>
    <row r="10" customFormat="false" ht="15" hidden="false" customHeight="false" outlineLevel="0" collapsed="false">
      <c r="A10" s="19" t="s">
        <v>111</v>
      </c>
      <c r="B10" s="20" t="n">
        <f aca="false">B8+N(B9)</f>
        <v>8000</v>
      </c>
      <c r="C10" s="20" t="n">
        <f aca="false">C8+N(C9)</f>
        <v>0</v>
      </c>
      <c r="D10" s="20" t="n">
        <f aca="false">N(C10)-N(B10)</f>
        <v>-8000</v>
      </c>
      <c r="E10" s="29"/>
    </row>
    <row r="12" customFormat="false" ht="15" hidden="false" customHeight="false" outlineLevel="0" collapsed="false">
      <c r="A12" s="13" t="s">
        <v>138</v>
      </c>
      <c r="B12" s="14"/>
      <c r="C12" s="14"/>
      <c r="D12" s="14"/>
      <c r="E12" s="14"/>
    </row>
    <row r="13" customFormat="false" ht="15" hidden="false" customHeight="false" outlineLevel="0" collapsed="false">
      <c r="A13" s="15" t="str">
        <f aca="false">Categorias!$C$6</f>
        <v>Moradia (aluguel ou prestação, condomínio)</v>
      </c>
      <c r="B13" s="30" t="n">
        <f aca="false">Set!B13</f>
        <v>2000</v>
      </c>
      <c r="C13" s="28"/>
      <c r="D13" s="25" t="n">
        <f aca="false">IF(AND(B13="",C13=""),"",N(C13)-N(B13))</f>
        <v>-2000</v>
      </c>
      <c r="E13" s="5"/>
    </row>
    <row r="14" customFormat="false" ht="15" hidden="false" customHeight="false" outlineLevel="0" collapsed="false">
      <c r="A14" s="15" t="str">
        <f aca="false">Categorias!$C$7</f>
        <v>Contas da casa (luz, água, gás, internet, celular)</v>
      </c>
      <c r="B14" s="30" t="n">
        <f aca="false">Set!B14</f>
        <v>450</v>
      </c>
      <c r="C14" s="28"/>
      <c r="D14" s="25" t="n">
        <f aca="false">IF(AND(B14="",C14=""),"",N(C14)-N(B14))</f>
        <v>-450</v>
      </c>
      <c r="E14" s="5"/>
    </row>
    <row r="15" customFormat="false" ht="15" hidden="false" customHeight="false" outlineLevel="0" collapsed="false">
      <c r="A15" s="15" t="str">
        <f aca="false">Categorias!$C$8</f>
        <v>Alimentação (supermercado e feira)</v>
      </c>
      <c r="B15" s="30" t="n">
        <f aca="false">Set!B15</f>
        <v>1150</v>
      </c>
      <c r="C15" s="28"/>
      <c r="D15" s="25" t="n">
        <f aca="false">IF(AND(B15="",C15=""),"",N(C15)-N(B15))</f>
        <v>-1150</v>
      </c>
      <c r="E15" s="5"/>
    </row>
    <row r="16" customFormat="false" ht="15" hidden="false" customHeight="false" outlineLevel="0" collapsed="false">
      <c r="A16" s="15" t="str">
        <f aca="false">Categorias!$C$9</f>
        <v>Transporte (combustível, transporte público, aplicativo)</v>
      </c>
      <c r="B16" s="30" t="n">
        <f aca="false">Set!B16</f>
        <v>350</v>
      </c>
      <c r="C16" s="28"/>
      <c r="D16" s="25" t="n">
        <f aca="false">IF(AND(B16="",C16=""),"",N(C16)-N(B16))</f>
        <v>-350</v>
      </c>
      <c r="E16" s="5"/>
    </row>
    <row r="17" customFormat="false" ht="15" hidden="false" customHeight="false" outlineLevel="0" collapsed="false">
      <c r="A17" s="15" t="str">
        <f aca="false">Categorias!$C$10</f>
        <v>Saúde (plano, farmácia, consultas)</v>
      </c>
      <c r="B17" s="30" t="n">
        <f aca="false">Set!B17</f>
        <v>250</v>
      </c>
      <c r="C17" s="28"/>
      <c r="D17" s="25" t="n">
        <f aca="false">IF(AND(B17="",C17=""),"",N(C17)-N(B17))</f>
        <v>-250</v>
      </c>
      <c r="E17" s="5"/>
    </row>
    <row r="18" customFormat="false" ht="15" hidden="false" customHeight="false" outlineLevel="0" collapsed="false">
      <c r="A18" s="15" t="str">
        <f aca="false">Categorias!$C$11</f>
        <v>Outros essenciais</v>
      </c>
      <c r="B18" s="30" t="n">
        <f aca="false">Set!B18</f>
        <v>0</v>
      </c>
      <c r="C18" s="28"/>
      <c r="D18" s="25" t="n">
        <f aca="false">IF(AND(B18="",C18=""),"",N(C18)-N(B18))</f>
        <v>0</v>
      </c>
      <c r="E18" s="5"/>
    </row>
    <row r="19" customFormat="false" ht="15" hidden="false" customHeight="false" outlineLevel="0" collapsed="false">
      <c r="A19" s="19" t="s">
        <v>139</v>
      </c>
      <c r="B19" s="20" t="n">
        <f aca="false">SUM(B13:B18)</f>
        <v>4200</v>
      </c>
      <c r="C19" s="20" t="n">
        <f aca="false">SUM(C13:C18)</f>
        <v>0</v>
      </c>
      <c r="D19" s="20" t="n">
        <f aca="false">N(C19)-N(B19)</f>
        <v>-4200</v>
      </c>
      <c r="E19" s="29"/>
    </row>
    <row r="21" customFormat="false" ht="15" hidden="false" customHeight="false" outlineLevel="0" collapsed="false">
      <c r="A21" s="13" t="s">
        <v>140</v>
      </c>
      <c r="B21" s="14"/>
      <c r="C21" s="14"/>
      <c r="D21" s="14"/>
      <c r="E21" s="14"/>
    </row>
    <row r="22" customFormat="false" ht="15" hidden="false" customHeight="false" outlineLevel="0" collapsed="false">
      <c r="A22" s="15" t="str">
        <f aca="false">Categorias!$C$12</f>
        <v>Financiamento ou empréstimo</v>
      </c>
      <c r="B22" s="30" t="n">
        <f aca="false">Set!B22</f>
        <v>0</v>
      </c>
      <c r="C22" s="28"/>
      <c r="D22" s="25" t="n">
        <f aca="false">IF(AND(B22="",C22=""),"",N(C22)-N(B22))</f>
        <v>0</v>
      </c>
      <c r="E22" s="5"/>
    </row>
    <row r="23" customFormat="false" ht="15" hidden="false" customHeight="false" outlineLevel="0" collapsed="false">
      <c r="A23" s="15" t="str">
        <f aca="false">Categorias!$C$13</f>
        <v>Parcela do carro</v>
      </c>
      <c r="B23" s="30" t="n">
        <f aca="false">Set!B23</f>
        <v>900</v>
      </c>
      <c r="C23" s="28"/>
      <c r="D23" s="25" t="n">
        <f aca="false">IF(AND(B23="",C23=""),"",N(C23)-N(B23))</f>
        <v>-900</v>
      </c>
      <c r="E23" s="5"/>
    </row>
    <row r="24" customFormat="false" ht="15" hidden="false" customHeight="false" outlineLevel="0" collapsed="false">
      <c r="A24" s="15" t="str">
        <f aca="false">Categorias!$C$14</f>
        <v>Escola, faculdade e cursos</v>
      </c>
      <c r="B24" s="30" t="n">
        <f aca="false">Set!B24</f>
        <v>400</v>
      </c>
      <c r="C24" s="28"/>
      <c r="D24" s="25" t="n">
        <f aca="false">IF(AND(B24="",C24=""),"",N(C24)-N(B24))</f>
        <v>-400</v>
      </c>
      <c r="E24" s="5"/>
    </row>
    <row r="25" customFormat="false" ht="15" hidden="false" customHeight="false" outlineLevel="0" collapsed="false">
      <c r="A25" s="15" t="str">
        <f aca="false">Categorias!$C$15</f>
        <v>Seguros mensais</v>
      </c>
      <c r="B25" s="30" t="n">
        <f aca="false">Set!B25</f>
        <v>0</v>
      </c>
      <c r="C25" s="28"/>
      <c r="D25" s="25" t="n">
        <f aca="false">IF(AND(B25="",C25=""),"",N(C25)-N(B25))</f>
        <v>0</v>
      </c>
      <c r="E25" s="5"/>
    </row>
    <row r="26" customFormat="false" ht="15" hidden="false" customHeight="false" outlineLevel="0" collapsed="false">
      <c r="A26" s="15" t="str">
        <f aca="false">Categorias!$C$16</f>
        <v>Outras parcelas e mensalidades</v>
      </c>
      <c r="B26" s="30" t="n">
        <f aca="false">Set!B26</f>
        <v>0</v>
      </c>
      <c r="C26" s="28"/>
      <c r="D26" s="25" t="n">
        <f aca="false">IF(AND(B26="",C26=""),"",N(C26)-N(B26))</f>
        <v>0</v>
      </c>
      <c r="E26" s="5"/>
    </row>
    <row r="27" customFormat="false" ht="15" hidden="false" customHeight="false" outlineLevel="0" collapsed="false">
      <c r="A27" s="19" t="s">
        <v>141</v>
      </c>
      <c r="B27" s="20" t="n">
        <f aca="false">SUM(B22:B26)</f>
        <v>1300</v>
      </c>
      <c r="C27" s="20" t="n">
        <f aca="false">SUM(C22:C26)</f>
        <v>0</v>
      </c>
      <c r="D27" s="20" t="n">
        <f aca="false">N(C27)-N(B27)</f>
        <v>-1300</v>
      </c>
      <c r="E27" s="29"/>
    </row>
    <row r="29" customFormat="false" ht="15" hidden="false" customHeight="false" outlineLevel="0" collapsed="false">
      <c r="A29" s="13" t="s">
        <v>142</v>
      </c>
      <c r="B29" s="14"/>
      <c r="C29" s="14"/>
      <c r="D29" s="14"/>
      <c r="E29" s="14"/>
    </row>
    <row r="30" customFormat="false" ht="15" hidden="false" customHeight="false" outlineLevel="0" collapsed="false">
      <c r="A30" s="15" t="s">
        <v>143</v>
      </c>
      <c r="B30" s="30" t="n">
        <f aca="false">Irregulares!$C$28</f>
        <v>500</v>
      </c>
      <c r="C30" s="30" t="str">
        <f aca="false">IF(N(C8)=0,"",Irregulares!$C$28)</f>
        <v/>
      </c>
      <c r="D30" s="25" t="n">
        <f aca="false">N(C30)-N(B30)</f>
        <v>-500</v>
      </c>
    </row>
    <row r="31" customFormat="false" ht="15" hidden="false" customHeight="false" outlineLevel="0" collapsed="false">
      <c r="A31" s="15" t="s">
        <v>144</v>
      </c>
      <c r="B31" s="30" t="n">
        <f aca="false">SUMIF(Irregulares!$D$6:$D$25,10,Irregulares!$C$6:$C$25)</f>
        <v>0</v>
      </c>
      <c r="C31" s="28"/>
      <c r="D31" s="25" t="n">
        <f aca="false">IF(AND(B31="",C31=""),"",N(C31)-N(B31))</f>
        <v>0</v>
      </c>
      <c r="E31" s="2" t="s">
        <v>145</v>
      </c>
    </row>
    <row r="33" customFormat="false" ht="15" hidden="false" customHeight="false" outlineLevel="0" collapsed="false">
      <c r="A33" s="31" t="s">
        <v>146</v>
      </c>
      <c r="B33" s="32" t="n">
        <f aca="false">B8-B19-B27-N(B30)</f>
        <v>2000</v>
      </c>
      <c r="C33" s="32" t="str">
        <f aca="false">IF(N(C8)=0,"",C8-C19-C27-N(C30))</f>
        <v/>
      </c>
      <c r="D33" s="32" t="n">
        <f aca="false">N(C33)-N(B33)</f>
        <v>-2000</v>
      </c>
      <c r="E33" s="33"/>
    </row>
    <row r="35" customFormat="false" ht="15" hidden="false" customHeight="false" outlineLevel="0" collapsed="false">
      <c r="A35" s="13" t="s">
        <v>147</v>
      </c>
      <c r="B35" s="14"/>
      <c r="C35" s="14"/>
      <c r="D35" s="14"/>
      <c r="E35" s="14"/>
    </row>
    <row r="36" customFormat="false" ht="15" hidden="false" customHeight="false" outlineLevel="0" collapsed="false">
      <c r="A36" s="15" t="str">
        <f aca="false">Categorias!$C$17</f>
        <v>Restaurantes e delivery</v>
      </c>
      <c r="B36" s="30" t="n">
        <f aca="false">Set!B36</f>
        <v>150</v>
      </c>
      <c r="C36" s="28"/>
      <c r="D36" s="25" t="n">
        <f aca="false">IF(AND(B36="",C36=""),"",N(C36)-N(B36))</f>
        <v>-150</v>
      </c>
      <c r="E36" s="5"/>
    </row>
    <row r="37" customFormat="false" ht="15" hidden="false" customHeight="false" outlineLevel="0" collapsed="false">
      <c r="A37" s="15" t="str">
        <f aca="false">Categorias!$C$18</f>
        <v>Lazer e passeios</v>
      </c>
      <c r="B37" s="30" t="n">
        <f aca="false">Set!B37</f>
        <v>120</v>
      </c>
      <c r="C37" s="28"/>
      <c r="D37" s="25" t="n">
        <f aca="false">IF(AND(B37="",C37=""),"",N(C37)-N(B37))</f>
        <v>-120</v>
      </c>
      <c r="E37" s="5"/>
    </row>
    <row r="38" customFormat="false" ht="15" hidden="false" customHeight="false" outlineLevel="0" collapsed="false">
      <c r="A38" s="15" t="str">
        <f aca="false">Categorias!$C$19</f>
        <v>Compras (roupas, eletrônicos, casa)</v>
      </c>
      <c r="B38" s="30" t="n">
        <f aca="false">Set!B38</f>
        <v>80</v>
      </c>
      <c r="C38" s="28"/>
      <c r="D38" s="25" t="n">
        <f aca="false">IF(AND(B38="",C38=""),"",N(C38)-N(B38))</f>
        <v>-80</v>
      </c>
      <c r="E38" s="5"/>
    </row>
    <row r="39" customFormat="false" ht="15" hidden="false" customHeight="false" outlineLevel="0" collapsed="false">
      <c r="A39" s="15" t="str">
        <f aca="false">Categorias!$C$20</f>
        <v>Assinaturas e aplicativos</v>
      </c>
      <c r="B39" s="30" t="n">
        <f aca="false">Set!B39</f>
        <v>50</v>
      </c>
      <c r="C39" s="28"/>
      <c r="D39" s="25" t="n">
        <f aca="false">IF(AND(B39="",C39=""),"",N(C39)-N(B39))</f>
        <v>-50</v>
      </c>
      <c r="E39" s="5"/>
    </row>
    <row r="40" customFormat="false" ht="15" hidden="false" customHeight="false" outlineLevel="0" collapsed="false">
      <c r="A40" s="15" t="str">
        <f aca="false">Categorias!$C$21</f>
        <v>Cuidados pessoais</v>
      </c>
      <c r="B40" s="30" t="n">
        <f aca="false">Set!B40</f>
        <v>0</v>
      </c>
      <c r="C40" s="28"/>
      <c r="D40" s="25" t="n">
        <f aca="false">IF(AND(B40="",C40=""),"",N(C40)-N(B40))</f>
        <v>0</v>
      </c>
      <c r="E40" s="5"/>
    </row>
    <row r="41" customFormat="false" ht="15" hidden="false" customHeight="false" outlineLevel="0" collapsed="false">
      <c r="A41" s="15" t="str">
        <f aca="false">Categorias!$C$22</f>
        <v>Presentes e outros</v>
      </c>
      <c r="B41" s="30" t="n">
        <f aca="false">Set!B41</f>
        <v>0</v>
      </c>
      <c r="C41" s="28"/>
      <c r="D41" s="25" t="n">
        <f aca="false">IF(AND(B41="",C41=""),"",N(C41)-N(B41))</f>
        <v>0</v>
      </c>
      <c r="E41" s="5"/>
    </row>
    <row r="42" customFormat="false" ht="15" hidden="false" customHeight="false" outlineLevel="0" collapsed="false">
      <c r="A42" s="19" t="s">
        <v>148</v>
      </c>
      <c r="B42" s="20" t="n">
        <f aca="false">SUM(B36:B41)</f>
        <v>400</v>
      </c>
      <c r="C42" s="20" t="n">
        <f aca="false">SUM(C36:C41)</f>
        <v>0</v>
      </c>
      <c r="D42" s="20" t="n">
        <f aca="false">N(C42)-N(B42)</f>
        <v>-400</v>
      </c>
      <c r="E42" s="29"/>
    </row>
    <row r="43" customFormat="false" ht="15" hidden="false" customHeight="false" outlineLevel="0" collapsed="false">
      <c r="A43" s="31" t="s">
        <v>149</v>
      </c>
      <c r="B43" s="32" t="n">
        <f aca="false">N(B33)-B42</f>
        <v>1600</v>
      </c>
      <c r="C43" s="32" t="str">
        <f aca="false">IF(N(C8)=0,"",N(C33)-C42)</f>
        <v/>
      </c>
      <c r="D43" s="32" t="n">
        <f aca="false">N(C43)-N(B43)</f>
        <v>-1600</v>
      </c>
      <c r="E43" s="33"/>
    </row>
    <row r="45" customFormat="false" ht="15" hidden="false" customHeight="false" outlineLevel="0" collapsed="false">
      <c r="A45" s="13" t="s">
        <v>150</v>
      </c>
      <c r="B45" s="14"/>
      <c r="C45" s="14"/>
      <c r="D45" s="14"/>
      <c r="E45" s="14"/>
    </row>
    <row r="46" customFormat="false" ht="15" hidden="false" customHeight="false" outlineLevel="0" collapsed="false">
      <c r="A46" s="15" t="s">
        <v>151</v>
      </c>
      <c r="B46" s="30" t="n">
        <f aca="false">Set!B46</f>
        <v>0</v>
      </c>
      <c r="C46" s="28"/>
      <c r="D46" s="25" t="n">
        <f aca="false">IF(AND(B46="",C46=""),"",N(C46)-N(B46))</f>
        <v>0</v>
      </c>
      <c r="E46" s="5"/>
    </row>
    <row r="47" customFormat="false" ht="15" hidden="false" customHeight="false" outlineLevel="0" collapsed="false">
      <c r="A47" s="15" t="s">
        <v>34</v>
      </c>
      <c r="B47" s="30" t="n">
        <f aca="false">Set!B47</f>
        <v>1000</v>
      </c>
      <c r="C47" s="28"/>
      <c r="D47" s="25" t="n">
        <f aca="false">IF(AND(B47="",C47=""),"",N(C47)-N(B47))</f>
        <v>-1000</v>
      </c>
      <c r="E47" s="5"/>
    </row>
    <row r="48" customFormat="false" ht="15" hidden="false" customHeight="false" outlineLevel="0" collapsed="false">
      <c r="A48" s="15" t="s">
        <v>152</v>
      </c>
      <c r="B48" s="30" t="n">
        <f aca="false">Set!B48</f>
        <v>120</v>
      </c>
      <c r="C48" s="28"/>
      <c r="D48" s="25" t="n">
        <f aca="false">IF(AND(B48="",C48=""),"",N(C48)-N(B48))</f>
        <v>-120</v>
      </c>
      <c r="E48" s="5"/>
    </row>
    <row r="49" customFormat="false" ht="15" hidden="false" customHeight="false" outlineLevel="0" collapsed="false">
      <c r="A49" s="15" t="str">
        <f aca="false">IF(Metas!$B$6="","Meta 1 (aba Metas)","Meta 1: "&amp;Metas!$B$6)</f>
        <v>Meta 1: Entrada do apartamento</v>
      </c>
      <c r="B49" s="30" t="n">
        <f aca="false">Set!B49</f>
        <v>480</v>
      </c>
      <c r="C49" s="28"/>
      <c r="D49" s="25" t="n">
        <f aca="false">IF(AND(B49="",C49=""),"",N(C49)-N(B49))</f>
        <v>-480</v>
      </c>
      <c r="E49" s="5"/>
    </row>
    <row r="50" customFormat="false" ht="15" hidden="false" customHeight="false" outlineLevel="0" collapsed="false">
      <c r="A50" s="15" t="str">
        <f aca="false">IF(Metas!$B$7="","Meta 2 (aba Metas)","Meta 2: "&amp;Metas!$B$7)</f>
        <v>Meta 2: Faculdade do filho</v>
      </c>
      <c r="B50" s="30" t="n">
        <f aca="false">Set!B50</f>
        <v>0</v>
      </c>
      <c r="C50" s="28"/>
      <c r="D50" s="25" t="n">
        <f aca="false">IF(AND(B50="",C50=""),"",N(C50)-N(B50))</f>
        <v>0</v>
      </c>
      <c r="E50" s="5"/>
    </row>
    <row r="51" customFormat="false" ht="15" hidden="false" customHeight="false" outlineLevel="0" collapsed="false">
      <c r="A51" s="15" t="str">
        <f aca="false">IF(Metas!$B$8="","Meta 3 (aba Metas)","Meta 3: "&amp;Metas!$B$8)</f>
        <v>Meta 3 (aba Metas)</v>
      </c>
      <c r="B51" s="30" t="n">
        <f aca="false">Set!B51</f>
        <v>0</v>
      </c>
      <c r="C51" s="28"/>
      <c r="D51" s="25" t="n">
        <f aca="false">IF(AND(B51="",C51=""),"",N(C51)-N(B51))</f>
        <v>0</v>
      </c>
      <c r="E51" s="5"/>
    </row>
    <row r="52" customFormat="false" ht="15" hidden="false" customHeight="false" outlineLevel="0" collapsed="false">
      <c r="A52" s="15" t="str">
        <f aca="false">IF(Metas!$B$9="","Meta 4 (aba Metas)","Meta 4: "&amp;Metas!$B$9)</f>
        <v>Meta 4 (aba Metas)</v>
      </c>
      <c r="B52" s="30" t="n">
        <f aca="false">Set!B52</f>
        <v>0</v>
      </c>
      <c r="C52" s="28"/>
      <c r="D52" s="25" t="n">
        <f aca="false">IF(AND(B52="",C52=""),"",N(C52)-N(B52))</f>
        <v>0</v>
      </c>
      <c r="E52" s="5"/>
    </row>
    <row r="53" customFormat="false" ht="15" hidden="false" customHeight="false" outlineLevel="0" collapsed="false">
      <c r="A53" s="15" t="str">
        <f aca="false">IF(Metas!$B$10="","Meta 5 (aba Metas)","Meta 5: "&amp;Metas!$B$10)</f>
        <v>Meta 5 (aba Metas)</v>
      </c>
      <c r="B53" s="30" t="n">
        <f aca="false">Set!B53</f>
        <v>0</v>
      </c>
      <c r="C53" s="28"/>
      <c r="D53" s="25" t="n">
        <f aca="false">IF(AND(B53="",C53=""),"",N(C53)-N(B53))</f>
        <v>0</v>
      </c>
      <c r="E53" s="5"/>
    </row>
    <row r="54" customFormat="false" ht="15" hidden="false" customHeight="false" outlineLevel="0" collapsed="false">
      <c r="A54" s="15" t="s">
        <v>153</v>
      </c>
      <c r="B54" s="30" t="n">
        <f aca="false">Set!B54</f>
        <v>0</v>
      </c>
      <c r="C54" s="28"/>
      <c r="D54" s="25" t="n">
        <f aca="false">IF(AND(B54="",C54=""),"",N(C54)-N(B54))</f>
        <v>0</v>
      </c>
      <c r="E54" s="5"/>
    </row>
    <row r="55" customFormat="false" ht="15" hidden="false" customHeight="false" outlineLevel="0" collapsed="false">
      <c r="A55" s="19" t="s">
        <v>119</v>
      </c>
      <c r="B55" s="20" t="n">
        <f aca="false">SUM(B46:B54)</f>
        <v>1600</v>
      </c>
      <c r="C55" s="20" t="n">
        <f aca="false">SUM(C46:C54)</f>
        <v>0</v>
      </c>
      <c r="D55" s="20" t="n">
        <f aca="false">N(C55)-N(B55)</f>
        <v>-1600</v>
      </c>
      <c r="E55" s="29"/>
    </row>
    <row r="57" customFormat="false" ht="15" hidden="false" customHeight="false" outlineLevel="0" collapsed="false">
      <c r="A57" s="31" t="s">
        <v>154</v>
      </c>
      <c r="B57" s="32" t="n">
        <f aca="false">N(B43)-B55+N(B9)</f>
        <v>0</v>
      </c>
      <c r="C57" s="32" t="str">
        <f aca="false">IF(N(C8)=0,"",N(C43)-C55+N(C9))</f>
        <v/>
      </c>
      <c r="D57" s="32" t="n">
        <f aca="false">N(C57)-N(B57)</f>
        <v>0</v>
      </c>
      <c r="E57" s="34" t="s">
        <v>155</v>
      </c>
    </row>
    <row r="59" customFormat="false" ht="15" hidden="false" customHeight="false" outlineLevel="0" collapsed="false">
      <c r="A59" s="13" t="s">
        <v>156</v>
      </c>
      <c r="B59" s="14"/>
      <c r="C59" s="14"/>
      <c r="D59" s="14"/>
      <c r="E59" s="14"/>
    </row>
    <row r="60" customFormat="false" ht="15" hidden="false" customHeight="false" outlineLevel="0" collapsed="false">
      <c r="A60" s="15" t="s">
        <v>126</v>
      </c>
      <c r="C60" s="27" t="n">
        <f aca="false">IFERROR((C55-N(C48))/C10,0)</f>
        <v>0</v>
      </c>
    </row>
    <row r="61" customFormat="false" ht="15" hidden="false" customHeight="false" outlineLevel="0" collapsed="false">
      <c r="A61" s="15" t="s">
        <v>157</v>
      </c>
      <c r="C61" s="27" t="n">
        <f aca="false">IFERROR((C19+C27+N(C30))/C8,0)</f>
        <v>0</v>
      </c>
    </row>
    <row r="62" customFormat="false" ht="15" hidden="false" customHeight="false" outlineLevel="0" collapsed="false">
      <c r="A62" s="15" t="s">
        <v>158</v>
      </c>
      <c r="C62" s="27" t="n">
        <f aca="false">IFERROR(C42/C8,0)</f>
        <v>0</v>
      </c>
    </row>
    <row r="63" customFormat="false" ht="15" hidden="false" customHeight="false" outlineLevel="0" collapsed="false">
      <c r="A63" s="15" t="s">
        <v>159</v>
      </c>
      <c r="C63" s="27" t="n">
        <f aca="false">IFERROR(C55/C8,0)</f>
        <v>0</v>
      </c>
    </row>
    <row r="64" customFormat="false" ht="15" hidden="false" customHeight="false" outlineLevel="0" collapsed="false">
      <c r="A64" s="2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A1:E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tr">
        <f aca="false">"Orçamento de novembro de "&amp;Início!$C$5</f>
        <v>Orçamento de novembro de 2026</v>
      </c>
    </row>
    <row r="2" customFormat="false" ht="15" hidden="false" customHeight="false" outlineLevel="0" collapsed="false">
      <c r="A2" s="2" t="s">
        <v>170</v>
      </c>
    </row>
    <row r="3" customFormat="false" ht="15" hidden="false" customHeight="false" outlineLevel="0" collapsed="false">
      <c r="A3" s="22" t="s">
        <v>130</v>
      </c>
      <c r="B3" s="22" t="s">
        <v>131</v>
      </c>
      <c r="C3" s="22" t="s">
        <v>132</v>
      </c>
      <c r="D3" s="22" t="s">
        <v>133</v>
      </c>
      <c r="E3" s="22" t="s">
        <v>134</v>
      </c>
    </row>
    <row r="4" customFormat="false" ht="15" hidden="false" customHeight="false" outlineLevel="0" collapsed="false">
      <c r="A4" s="13" t="s">
        <v>135</v>
      </c>
      <c r="B4" s="14"/>
      <c r="C4" s="14"/>
      <c r="D4" s="14"/>
      <c r="E4" s="14"/>
    </row>
    <row r="5" customFormat="false" ht="15" hidden="false" customHeight="false" outlineLevel="0" collapsed="false">
      <c r="A5" s="15" t="str">
        <f aca="false">"Renda líquida de "&amp;Início!$C$6</f>
        <v>Renda líquida de Paula</v>
      </c>
      <c r="B5" s="30" t="n">
        <f aca="false">Out!B5</f>
        <v>4500</v>
      </c>
      <c r="C5" s="28"/>
      <c r="D5" s="25" t="n">
        <f aca="false">IF(AND(B5="",C5=""),"",N(C5)-N(B5))</f>
        <v>-4500</v>
      </c>
      <c r="E5" s="5"/>
    </row>
    <row r="6" customFormat="false" ht="15" hidden="false" customHeight="false" outlineLevel="0" collapsed="false">
      <c r="A6" s="15" t="str">
        <f aca="false">"Renda líquida de "&amp;Início!$C$7</f>
        <v>Renda líquida de Marcos</v>
      </c>
      <c r="B6" s="30" t="n">
        <f aca="false">Out!B6</f>
        <v>3500</v>
      </c>
      <c r="C6" s="28"/>
      <c r="D6" s="25" t="n">
        <f aca="false">IF(AND(B6="",C6=""),"",N(C6)-N(B6))</f>
        <v>-3500</v>
      </c>
      <c r="E6" s="5"/>
    </row>
    <row r="7" customFormat="false" ht="15" hidden="false" customHeight="false" outlineLevel="0" collapsed="false">
      <c r="A7" s="15" t="s">
        <v>136</v>
      </c>
      <c r="B7" s="30" t="n">
        <f aca="false">Out!B7</f>
        <v>0</v>
      </c>
      <c r="C7" s="28"/>
      <c r="D7" s="25" t="str">
        <f aca="false">IF(AND(B7="",C7=""),"",N(C7)-N(B7))</f>
        <v/>
      </c>
      <c r="E7" s="5"/>
    </row>
    <row r="8" customFormat="false" ht="15" hidden="false" customHeight="false" outlineLevel="0" collapsed="false">
      <c r="A8" s="19" t="s">
        <v>110</v>
      </c>
      <c r="B8" s="20" t="n">
        <f aca="false">SUM(B5:B7)</f>
        <v>8000</v>
      </c>
      <c r="C8" s="20" t="n">
        <f aca="false">SUM(C5:C7)</f>
        <v>0</v>
      </c>
      <c r="D8" s="20" t="n">
        <f aca="false">N(C8)-N(B8)</f>
        <v>-8000</v>
      </c>
      <c r="E8" s="29"/>
    </row>
    <row r="9" customFormat="false" ht="15" hidden="false" customHeight="false" outlineLevel="0" collapsed="false">
      <c r="A9" s="15" t="s">
        <v>137</v>
      </c>
      <c r="B9" s="30" t="n">
        <f aca="false">Out!B9</f>
        <v>0</v>
      </c>
      <c r="C9" s="28"/>
      <c r="D9" s="25" t="str">
        <f aca="false">IF(AND(B9="",C9=""),"",N(C9)-N(B9))</f>
        <v/>
      </c>
      <c r="E9" s="5"/>
    </row>
    <row r="10" customFormat="false" ht="15" hidden="false" customHeight="false" outlineLevel="0" collapsed="false">
      <c r="A10" s="19" t="s">
        <v>111</v>
      </c>
      <c r="B10" s="20" t="n">
        <f aca="false">B8+N(B9)</f>
        <v>8000</v>
      </c>
      <c r="C10" s="20" t="n">
        <f aca="false">C8+N(C9)</f>
        <v>0</v>
      </c>
      <c r="D10" s="20" t="n">
        <f aca="false">N(C10)-N(B10)</f>
        <v>-8000</v>
      </c>
      <c r="E10" s="29"/>
    </row>
    <row r="12" customFormat="false" ht="15" hidden="false" customHeight="false" outlineLevel="0" collapsed="false">
      <c r="A12" s="13" t="s">
        <v>138</v>
      </c>
      <c r="B12" s="14"/>
      <c r="C12" s="14"/>
      <c r="D12" s="14"/>
      <c r="E12" s="14"/>
    </row>
    <row r="13" customFormat="false" ht="15" hidden="false" customHeight="false" outlineLevel="0" collapsed="false">
      <c r="A13" s="15" t="str">
        <f aca="false">Categorias!$C$6</f>
        <v>Moradia (aluguel ou prestação, condomínio)</v>
      </c>
      <c r="B13" s="30" t="n">
        <f aca="false">Out!B13</f>
        <v>2000</v>
      </c>
      <c r="C13" s="28"/>
      <c r="D13" s="25" t="n">
        <f aca="false">IF(AND(B13="",C13=""),"",N(C13)-N(B13))</f>
        <v>-2000</v>
      </c>
      <c r="E13" s="5"/>
    </row>
    <row r="14" customFormat="false" ht="15" hidden="false" customHeight="false" outlineLevel="0" collapsed="false">
      <c r="A14" s="15" t="str">
        <f aca="false">Categorias!$C$7</f>
        <v>Contas da casa (luz, água, gás, internet, celular)</v>
      </c>
      <c r="B14" s="30" t="n">
        <f aca="false">Out!B14</f>
        <v>450</v>
      </c>
      <c r="C14" s="28"/>
      <c r="D14" s="25" t="n">
        <f aca="false">IF(AND(B14="",C14=""),"",N(C14)-N(B14))</f>
        <v>-450</v>
      </c>
      <c r="E14" s="5"/>
    </row>
    <row r="15" customFormat="false" ht="15" hidden="false" customHeight="false" outlineLevel="0" collapsed="false">
      <c r="A15" s="15" t="str">
        <f aca="false">Categorias!$C$8</f>
        <v>Alimentação (supermercado e feira)</v>
      </c>
      <c r="B15" s="30" t="n">
        <f aca="false">Out!B15</f>
        <v>1150</v>
      </c>
      <c r="C15" s="28"/>
      <c r="D15" s="25" t="n">
        <f aca="false">IF(AND(B15="",C15=""),"",N(C15)-N(B15))</f>
        <v>-1150</v>
      </c>
      <c r="E15" s="5"/>
    </row>
    <row r="16" customFormat="false" ht="15" hidden="false" customHeight="false" outlineLevel="0" collapsed="false">
      <c r="A16" s="15" t="str">
        <f aca="false">Categorias!$C$9</f>
        <v>Transporte (combustível, transporte público, aplicativo)</v>
      </c>
      <c r="B16" s="30" t="n">
        <f aca="false">Out!B16</f>
        <v>350</v>
      </c>
      <c r="C16" s="28"/>
      <c r="D16" s="25" t="n">
        <f aca="false">IF(AND(B16="",C16=""),"",N(C16)-N(B16))</f>
        <v>-350</v>
      </c>
      <c r="E16" s="5"/>
    </row>
    <row r="17" customFormat="false" ht="15" hidden="false" customHeight="false" outlineLevel="0" collapsed="false">
      <c r="A17" s="15" t="str">
        <f aca="false">Categorias!$C$10</f>
        <v>Saúde (plano, farmácia, consultas)</v>
      </c>
      <c r="B17" s="30" t="n">
        <f aca="false">Out!B17</f>
        <v>250</v>
      </c>
      <c r="C17" s="28"/>
      <c r="D17" s="25" t="n">
        <f aca="false">IF(AND(B17="",C17=""),"",N(C17)-N(B17))</f>
        <v>-250</v>
      </c>
      <c r="E17" s="5"/>
    </row>
    <row r="18" customFormat="false" ht="15" hidden="false" customHeight="false" outlineLevel="0" collapsed="false">
      <c r="A18" s="15" t="str">
        <f aca="false">Categorias!$C$11</f>
        <v>Outros essenciais</v>
      </c>
      <c r="B18" s="30" t="n">
        <f aca="false">Out!B18</f>
        <v>0</v>
      </c>
      <c r="C18" s="28"/>
      <c r="D18" s="25" t="n">
        <f aca="false">IF(AND(B18="",C18=""),"",N(C18)-N(B18))</f>
        <v>0</v>
      </c>
      <c r="E18" s="5"/>
    </row>
    <row r="19" customFormat="false" ht="15" hidden="false" customHeight="false" outlineLevel="0" collapsed="false">
      <c r="A19" s="19" t="s">
        <v>139</v>
      </c>
      <c r="B19" s="20" t="n">
        <f aca="false">SUM(B13:B18)</f>
        <v>4200</v>
      </c>
      <c r="C19" s="20" t="n">
        <f aca="false">SUM(C13:C18)</f>
        <v>0</v>
      </c>
      <c r="D19" s="20" t="n">
        <f aca="false">N(C19)-N(B19)</f>
        <v>-4200</v>
      </c>
      <c r="E19" s="29"/>
    </row>
    <row r="21" customFormat="false" ht="15" hidden="false" customHeight="false" outlineLevel="0" collapsed="false">
      <c r="A21" s="13" t="s">
        <v>140</v>
      </c>
      <c r="B21" s="14"/>
      <c r="C21" s="14"/>
      <c r="D21" s="14"/>
      <c r="E21" s="14"/>
    </row>
    <row r="22" customFormat="false" ht="15" hidden="false" customHeight="false" outlineLevel="0" collapsed="false">
      <c r="A22" s="15" t="str">
        <f aca="false">Categorias!$C$12</f>
        <v>Financiamento ou empréstimo</v>
      </c>
      <c r="B22" s="30" t="n">
        <f aca="false">Out!B22</f>
        <v>0</v>
      </c>
      <c r="C22" s="28"/>
      <c r="D22" s="25" t="n">
        <f aca="false">IF(AND(B22="",C22=""),"",N(C22)-N(B22))</f>
        <v>0</v>
      </c>
      <c r="E22" s="5"/>
    </row>
    <row r="23" customFormat="false" ht="15" hidden="false" customHeight="false" outlineLevel="0" collapsed="false">
      <c r="A23" s="15" t="str">
        <f aca="false">Categorias!$C$13</f>
        <v>Parcela do carro</v>
      </c>
      <c r="B23" s="30" t="n">
        <f aca="false">Out!B23</f>
        <v>900</v>
      </c>
      <c r="C23" s="28"/>
      <c r="D23" s="25" t="n">
        <f aca="false">IF(AND(B23="",C23=""),"",N(C23)-N(B23))</f>
        <v>-900</v>
      </c>
      <c r="E23" s="5"/>
    </row>
    <row r="24" customFormat="false" ht="15" hidden="false" customHeight="false" outlineLevel="0" collapsed="false">
      <c r="A24" s="15" t="str">
        <f aca="false">Categorias!$C$14</f>
        <v>Escola, faculdade e cursos</v>
      </c>
      <c r="B24" s="30" t="n">
        <f aca="false">Out!B24</f>
        <v>400</v>
      </c>
      <c r="C24" s="28"/>
      <c r="D24" s="25" t="n">
        <f aca="false">IF(AND(B24="",C24=""),"",N(C24)-N(B24))</f>
        <v>-400</v>
      </c>
      <c r="E24" s="5"/>
    </row>
    <row r="25" customFormat="false" ht="15" hidden="false" customHeight="false" outlineLevel="0" collapsed="false">
      <c r="A25" s="15" t="str">
        <f aca="false">Categorias!$C$15</f>
        <v>Seguros mensais</v>
      </c>
      <c r="B25" s="30" t="n">
        <f aca="false">Out!B25</f>
        <v>0</v>
      </c>
      <c r="C25" s="28"/>
      <c r="D25" s="25" t="n">
        <f aca="false">IF(AND(B25="",C25=""),"",N(C25)-N(B25))</f>
        <v>0</v>
      </c>
      <c r="E25" s="5"/>
    </row>
    <row r="26" customFormat="false" ht="15" hidden="false" customHeight="false" outlineLevel="0" collapsed="false">
      <c r="A26" s="15" t="str">
        <f aca="false">Categorias!$C$16</f>
        <v>Outras parcelas e mensalidades</v>
      </c>
      <c r="B26" s="30" t="n">
        <f aca="false">Out!B26</f>
        <v>0</v>
      </c>
      <c r="C26" s="28"/>
      <c r="D26" s="25" t="n">
        <f aca="false">IF(AND(B26="",C26=""),"",N(C26)-N(B26))</f>
        <v>0</v>
      </c>
      <c r="E26" s="5"/>
    </row>
    <row r="27" customFormat="false" ht="15" hidden="false" customHeight="false" outlineLevel="0" collapsed="false">
      <c r="A27" s="19" t="s">
        <v>141</v>
      </c>
      <c r="B27" s="20" t="n">
        <f aca="false">SUM(B22:B26)</f>
        <v>1300</v>
      </c>
      <c r="C27" s="20" t="n">
        <f aca="false">SUM(C22:C26)</f>
        <v>0</v>
      </c>
      <c r="D27" s="20" t="n">
        <f aca="false">N(C27)-N(B27)</f>
        <v>-1300</v>
      </c>
      <c r="E27" s="29"/>
    </row>
    <row r="29" customFormat="false" ht="15" hidden="false" customHeight="false" outlineLevel="0" collapsed="false">
      <c r="A29" s="13" t="s">
        <v>142</v>
      </c>
      <c r="B29" s="14"/>
      <c r="C29" s="14"/>
      <c r="D29" s="14"/>
      <c r="E29" s="14"/>
    </row>
    <row r="30" customFormat="false" ht="15" hidden="false" customHeight="false" outlineLevel="0" collapsed="false">
      <c r="A30" s="15" t="s">
        <v>143</v>
      </c>
      <c r="B30" s="30" t="n">
        <f aca="false">Irregulares!$C$28</f>
        <v>500</v>
      </c>
      <c r="C30" s="30" t="str">
        <f aca="false">IF(N(C8)=0,"",Irregulares!$C$28)</f>
        <v/>
      </c>
      <c r="D30" s="25" t="n">
        <f aca="false">N(C30)-N(B30)</f>
        <v>-500</v>
      </c>
    </row>
    <row r="31" customFormat="false" ht="15" hidden="false" customHeight="false" outlineLevel="0" collapsed="false">
      <c r="A31" s="15" t="s">
        <v>144</v>
      </c>
      <c r="B31" s="30" t="n">
        <f aca="false">SUMIF(Irregulares!$D$6:$D$25,11,Irregulares!$C$6:$C$25)</f>
        <v>0</v>
      </c>
      <c r="C31" s="28"/>
      <c r="D31" s="25" t="n">
        <f aca="false">IF(AND(B31="",C31=""),"",N(C31)-N(B31))</f>
        <v>0</v>
      </c>
      <c r="E31" s="2" t="s">
        <v>145</v>
      </c>
    </row>
    <row r="33" customFormat="false" ht="15" hidden="false" customHeight="false" outlineLevel="0" collapsed="false">
      <c r="A33" s="31" t="s">
        <v>146</v>
      </c>
      <c r="B33" s="32" t="n">
        <f aca="false">B8-B19-B27-N(B30)</f>
        <v>2000</v>
      </c>
      <c r="C33" s="32" t="str">
        <f aca="false">IF(N(C8)=0,"",C8-C19-C27-N(C30))</f>
        <v/>
      </c>
      <c r="D33" s="32" t="n">
        <f aca="false">N(C33)-N(B33)</f>
        <v>-2000</v>
      </c>
      <c r="E33" s="33"/>
    </row>
    <row r="35" customFormat="false" ht="15" hidden="false" customHeight="false" outlineLevel="0" collapsed="false">
      <c r="A35" s="13" t="s">
        <v>147</v>
      </c>
      <c r="B35" s="14"/>
      <c r="C35" s="14"/>
      <c r="D35" s="14"/>
      <c r="E35" s="14"/>
    </row>
    <row r="36" customFormat="false" ht="15" hidden="false" customHeight="false" outlineLevel="0" collapsed="false">
      <c r="A36" s="15" t="str">
        <f aca="false">Categorias!$C$17</f>
        <v>Restaurantes e delivery</v>
      </c>
      <c r="B36" s="30" t="n">
        <f aca="false">Out!B36</f>
        <v>150</v>
      </c>
      <c r="C36" s="28"/>
      <c r="D36" s="25" t="n">
        <f aca="false">IF(AND(B36="",C36=""),"",N(C36)-N(B36))</f>
        <v>-150</v>
      </c>
      <c r="E36" s="5"/>
    </row>
    <row r="37" customFormat="false" ht="15" hidden="false" customHeight="false" outlineLevel="0" collapsed="false">
      <c r="A37" s="15" t="str">
        <f aca="false">Categorias!$C$18</f>
        <v>Lazer e passeios</v>
      </c>
      <c r="B37" s="30" t="n">
        <f aca="false">Out!B37</f>
        <v>120</v>
      </c>
      <c r="C37" s="28"/>
      <c r="D37" s="25" t="n">
        <f aca="false">IF(AND(B37="",C37=""),"",N(C37)-N(B37))</f>
        <v>-120</v>
      </c>
      <c r="E37" s="5"/>
    </row>
    <row r="38" customFormat="false" ht="15" hidden="false" customHeight="false" outlineLevel="0" collapsed="false">
      <c r="A38" s="15" t="str">
        <f aca="false">Categorias!$C$19</f>
        <v>Compras (roupas, eletrônicos, casa)</v>
      </c>
      <c r="B38" s="30" t="n">
        <f aca="false">Out!B38</f>
        <v>80</v>
      </c>
      <c r="C38" s="28"/>
      <c r="D38" s="25" t="n">
        <f aca="false">IF(AND(B38="",C38=""),"",N(C38)-N(B38))</f>
        <v>-80</v>
      </c>
      <c r="E38" s="5"/>
    </row>
    <row r="39" customFormat="false" ht="15" hidden="false" customHeight="false" outlineLevel="0" collapsed="false">
      <c r="A39" s="15" t="str">
        <f aca="false">Categorias!$C$20</f>
        <v>Assinaturas e aplicativos</v>
      </c>
      <c r="B39" s="30" t="n">
        <f aca="false">Out!B39</f>
        <v>50</v>
      </c>
      <c r="C39" s="28"/>
      <c r="D39" s="25" t="n">
        <f aca="false">IF(AND(B39="",C39=""),"",N(C39)-N(B39))</f>
        <v>-50</v>
      </c>
      <c r="E39" s="5"/>
    </row>
    <row r="40" customFormat="false" ht="15" hidden="false" customHeight="false" outlineLevel="0" collapsed="false">
      <c r="A40" s="15" t="str">
        <f aca="false">Categorias!$C$21</f>
        <v>Cuidados pessoais</v>
      </c>
      <c r="B40" s="30" t="n">
        <f aca="false">Out!B40</f>
        <v>0</v>
      </c>
      <c r="C40" s="28"/>
      <c r="D40" s="25" t="n">
        <f aca="false">IF(AND(B40="",C40=""),"",N(C40)-N(B40))</f>
        <v>0</v>
      </c>
      <c r="E40" s="5"/>
    </row>
    <row r="41" customFormat="false" ht="15" hidden="false" customHeight="false" outlineLevel="0" collapsed="false">
      <c r="A41" s="15" t="str">
        <f aca="false">Categorias!$C$22</f>
        <v>Presentes e outros</v>
      </c>
      <c r="B41" s="30" t="n">
        <f aca="false">Out!B41</f>
        <v>0</v>
      </c>
      <c r="C41" s="28"/>
      <c r="D41" s="25" t="n">
        <f aca="false">IF(AND(B41="",C41=""),"",N(C41)-N(B41))</f>
        <v>0</v>
      </c>
      <c r="E41" s="5"/>
    </row>
    <row r="42" customFormat="false" ht="15" hidden="false" customHeight="false" outlineLevel="0" collapsed="false">
      <c r="A42" s="19" t="s">
        <v>148</v>
      </c>
      <c r="B42" s="20" t="n">
        <f aca="false">SUM(B36:B41)</f>
        <v>400</v>
      </c>
      <c r="C42" s="20" t="n">
        <f aca="false">SUM(C36:C41)</f>
        <v>0</v>
      </c>
      <c r="D42" s="20" t="n">
        <f aca="false">N(C42)-N(B42)</f>
        <v>-400</v>
      </c>
      <c r="E42" s="29"/>
    </row>
    <row r="43" customFormat="false" ht="15" hidden="false" customHeight="false" outlineLevel="0" collapsed="false">
      <c r="A43" s="31" t="s">
        <v>149</v>
      </c>
      <c r="B43" s="32" t="n">
        <f aca="false">N(B33)-B42</f>
        <v>1600</v>
      </c>
      <c r="C43" s="32" t="str">
        <f aca="false">IF(N(C8)=0,"",N(C33)-C42)</f>
        <v/>
      </c>
      <c r="D43" s="32" t="n">
        <f aca="false">N(C43)-N(B43)</f>
        <v>-1600</v>
      </c>
      <c r="E43" s="33"/>
    </row>
    <row r="45" customFormat="false" ht="15" hidden="false" customHeight="false" outlineLevel="0" collapsed="false">
      <c r="A45" s="13" t="s">
        <v>150</v>
      </c>
      <c r="B45" s="14"/>
      <c r="C45" s="14"/>
      <c r="D45" s="14"/>
      <c r="E45" s="14"/>
    </row>
    <row r="46" customFormat="false" ht="15" hidden="false" customHeight="false" outlineLevel="0" collapsed="false">
      <c r="A46" s="15" t="s">
        <v>151</v>
      </c>
      <c r="B46" s="30" t="n">
        <f aca="false">Out!B46</f>
        <v>0</v>
      </c>
      <c r="C46" s="28"/>
      <c r="D46" s="25" t="n">
        <f aca="false">IF(AND(B46="",C46=""),"",N(C46)-N(B46))</f>
        <v>0</v>
      </c>
      <c r="E46" s="5"/>
    </row>
    <row r="47" customFormat="false" ht="15" hidden="false" customHeight="false" outlineLevel="0" collapsed="false">
      <c r="A47" s="15" t="s">
        <v>34</v>
      </c>
      <c r="B47" s="30" t="n">
        <f aca="false">Out!B47</f>
        <v>1000</v>
      </c>
      <c r="C47" s="28"/>
      <c r="D47" s="25" t="n">
        <f aca="false">IF(AND(B47="",C47=""),"",N(C47)-N(B47))</f>
        <v>-1000</v>
      </c>
      <c r="E47" s="5"/>
    </row>
    <row r="48" customFormat="false" ht="15" hidden="false" customHeight="false" outlineLevel="0" collapsed="false">
      <c r="A48" s="15" t="s">
        <v>152</v>
      </c>
      <c r="B48" s="30" t="n">
        <f aca="false">Out!B48</f>
        <v>120</v>
      </c>
      <c r="C48" s="28"/>
      <c r="D48" s="25" t="n">
        <f aca="false">IF(AND(B48="",C48=""),"",N(C48)-N(B48))</f>
        <v>-120</v>
      </c>
      <c r="E48" s="5"/>
    </row>
    <row r="49" customFormat="false" ht="15" hidden="false" customHeight="false" outlineLevel="0" collapsed="false">
      <c r="A49" s="15" t="str">
        <f aca="false">IF(Metas!$B$6="","Meta 1 (aba Metas)","Meta 1: "&amp;Metas!$B$6)</f>
        <v>Meta 1: Entrada do apartamento</v>
      </c>
      <c r="B49" s="30" t="n">
        <f aca="false">Out!B49</f>
        <v>480</v>
      </c>
      <c r="C49" s="28"/>
      <c r="D49" s="25" t="n">
        <f aca="false">IF(AND(B49="",C49=""),"",N(C49)-N(B49))</f>
        <v>-480</v>
      </c>
      <c r="E49" s="5"/>
    </row>
    <row r="50" customFormat="false" ht="15" hidden="false" customHeight="false" outlineLevel="0" collapsed="false">
      <c r="A50" s="15" t="str">
        <f aca="false">IF(Metas!$B$7="","Meta 2 (aba Metas)","Meta 2: "&amp;Metas!$B$7)</f>
        <v>Meta 2: Faculdade do filho</v>
      </c>
      <c r="B50" s="30" t="n">
        <f aca="false">Out!B50</f>
        <v>0</v>
      </c>
      <c r="C50" s="28"/>
      <c r="D50" s="25" t="n">
        <f aca="false">IF(AND(B50="",C50=""),"",N(C50)-N(B50))</f>
        <v>0</v>
      </c>
      <c r="E50" s="5"/>
    </row>
    <row r="51" customFormat="false" ht="15" hidden="false" customHeight="false" outlineLevel="0" collapsed="false">
      <c r="A51" s="15" t="str">
        <f aca="false">IF(Metas!$B$8="","Meta 3 (aba Metas)","Meta 3: "&amp;Metas!$B$8)</f>
        <v>Meta 3 (aba Metas)</v>
      </c>
      <c r="B51" s="30" t="n">
        <f aca="false">Out!B51</f>
        <v>0</v>
      </c>
      <c r="C51" s="28"/>
      <c r="D51" s="25" t="n">
        <f aca="false">IF(AND(B51="",C51=""),"",N(C51)-N(B51))</f>
        <v>0</v>
      </c>
      <c r="E51" s="5"/>
    </row>
    <row r="52" customFormat="false" ht="15" hidden="false" customHeight="false" outlineLevel="0" collapsed="false">
      <c r="A52" s="15" t="str">
        <f aca="false">IF(Metas!$B$9="","Meta 4 (aba Metas)","Meta 4: "&amp;Metas!$B$9)</f>
        <v>Meta 4 (aba Metas)</v>
      </c>
      <c r="B52" s="30" t="n">
        <f aca="false">Out!B52</f>
        <v>0</v>
      </c>
      <c r="C52" s="28"/>
      <c r="D52" s="25" t="n">
        <f aca="false">IF(AND(B52="",C52=""),"",N(C52)-N(B52))</f>
        <v>0</v>
      </c>
      <c r="E52" s="5"/>
    </row>
    <row r="53" customFormat="false" ht="15" hidden="false" customHeight="false" outlineLevel="0" collapsed="false">
      <c r="A53" s="15" t="str">
        <f aca="false">IF(Metas!$B$10="","Meta 5 (aba Metas)","Meta 5: "&amp;Metas!$B$10)</f>
        <v>Meta 5 (aba Metas)</v>
      </c>
      <c r="B53" s="30" t="n">
        <f aca="false">Out!B53</f>
        <v>0</v>
      </c>
      <c r="C53" s="28"/>
      <c r="D53" s="25" t="n">
        <f aca="false">IF(AND(B53="",C53=""),"",N(C53)-N(B53))</f>
        <v>0</v>
      </c>
      <c r="E53" s="5"/>
    </row>
    <row r="54" customFormat="false" ht="15" hidden="false" customHeight="false" outlineLevel="0" collapsed="false">
      <c r="A54" s="15" t="s">
        <v>153</v>
      </c>
      <c r="B54" s="30" t="n">
        <f aca="false">Out!B54</f>
        <v>0</v>
      </c>
      <c r="C54" s="28"/>
      <c r="D54" s="25" t="n">
        <f aca="false">IF(AND(B54="",C54=""),"",N(C54)-N(B54))</f>
        <v>0</v>
      </c>
      <c r="E54" s="5"/>
    </row>
    <row r="55" customFormat="false" ht="15" hidden="false" customHeight="false" outlineLevel="0" collapsed="false">
      <c r="A55" s="19" t="s">
        <v>119</v>
      </c>
      <c r="B55" s="20" t="n">
        <f aca="false">SUM(B46:B54)</f>
        <v>1600</v>
      </c>
      <c r="C55" s="20" t="n">
        <f aca="false">SUM(C46:C54)</f>
        <v>0</v>
      </c>
      <c r="D55" s="20" t="n">
        <f aca="false">N(C55)-N(B55)</f>
        <v>-1600</v>
      </c>
      <c r="E55" s="29"/>
    </row>
    <row r="57" customFormat="false" ht="15" hidden="false" customHeight="false" outlineLevel="0" collapsed="false">
      <c r="A57" s="31" t="s">
        <v>154</v>
      </c>
      <c r="B57" s="32" t="n">
        <f aca="false">N(B43)-B55+N(B9)</f>
        <v>0</v>
      </c>
      <c r="C57" s="32" t="str">
        <f aca="false">IF(N(C8)=0,"",N(C43)-C55+N(C9))</f>
        <v/>
      </c>
      <c r="D57" s="32" t="n">
        <f aca="false">N(C57)-N(B57)</f>
        <v>0</v>
      </c>
      <c r="E57" s="34" t="s">
        <v>155</v>
      </c>
    </row>
    <row r="59" customFormat="false" ht="15" hidden="false" customHeight="false" outlineLevel="0" collapsed="false">
      <c r="A59" s="13" t="s">
        <v>156</v>
      </c>
      <c r="B59" s="14"/>
      <c r="C59" s="14"/>
      <c r="D59" s="14"/>
      <c r="E59" s="14"/>
    </row>
    <row r="60" customFormat="false" ht="15" hidden="false" customHeight="false" outlineLevel="0" collapsed="false">
      <c r="A60" s="15" t="s">
        <v>126</v>
      </c>
      <c r="C60" s="27" t="n">
        <f aca="false">IFERROR((C55-N(C48))/C10,0)</f>
        <v>0</v>
      </c>
    </row>
    <row r="61" customFormat="false" ht="15" hidden="false" customHeight="false" outlineLevel="0" collapsed="false">
      <c r="A61" s="15" t="s">
        <v>157</v>
      </c>
      <c r="C61" s="27" t="n">
        <f aca="false">IFERROR((C19+C27+N(C30))/C8,0)</f>
        <v>0</v>
      </c>
    </row>
    <row r="62" customFormat="false" ht="15" hidden="false" customHeight="false" outlineLevel="0" collapsed="false">
      <c r="A62" s="15" t="s">
        <v>158</v>
      </c>
      <c r="C62" s="27" t="n">
        <f aca="false">IFERROR(C42/C8,0)</f>
        <v>0</v>
      </c>
    </row>
    <row r="63" customFormat="false" ht="15" hidden="false" customHeight="false" outlineLevel="0" collapsed="false">
      <c r="A63" s="15" t="s">
        <v>159</v>
      </c>
      <c r="C63" s="27" t="n">
        <f aca="false">IFERROR(C55/C8,0)</f>
        <v>0</v>
      </c>
    </row>
    <row r="64" customFormat="false" ht="15" hidden="false" customHeight="false" outlineLevel="0" collapsed="false">
      <c r="A64" s="2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A1:E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tr">
        <f aca="false">"Orçamento de dezembro de "&amp;Início!$C$5</f>
        <v>Orçamento de dezembro de 2026</v>
      </c>
    </row>
    <row r="2" customFormat="false" ht="15" hidden="false" customHeight="false" outlineLevel="0" collapsed="false">
      <c r="A2" s="2" t="s">
        <v>171</v>
      </c>
    </row>
    <row r="3" customFormat="false" ht="15" hidden="false" customHeight="false" outlineLevel="0" collapsed="false">
      <c r="A3" s="22" t="s">
        <v>130</v>
      </c>
      <c r="B3" s="22" t="s">
        <v>131</v>
      </c>
      <c r="C3" s="22" t="s">
        <v>132</v>
      </c>
      <c r="D3" s="22" t="s">
        <v>133</v>
      </c>
      <c r="E3" s="22" t="s">
        <v>134</v>
      </c>
    </row>
    <row r="4" customFormat="false" ht="15" hidden="false" customHeight="false" outlineLevel="0" collapsed="false">
      <c r="A4" s="13" t="s">
        <v>135</v>
      </c>
      <c r="B4" s="14"/>
      <c r="C4" s="14"/>
      <c r="D4" s="14"/>
      <c r="E4" s="14"/>
    </row>
    <row r="5" customFormat="false" ht="15" hidden="false" customHeight="false" outlineLevel="0" collapsed="false">
      <c r="A5" s="15" t="str">
        <f aca="false">"Renda líquida de "&amp;Início!$C$6</f>
        <v>Renda líquida de Paula</v>
      </c>
      <c r="B5" s="30" t="n">
        <f aca="false">Nov!B5</f>
        <v>4500</v>
      </c>
      <c r="C5" s="28"/>
      <c r="D5" s="25" t="n">
        <f aca="false">IF(AND(B5="",C5=""),"",N(C5)-N(B5))</f>
        <v>-4500</v>
      </c>
      <c r="E5" s="5"/>
    </row>
    <row r="6" customFormat="false" ht="15" hidden="false" customHeight="false" outlineLevel="0" collapsed="false">
      <c r="A6" s="15" t="str">
        <f aca="false">"Renda líquida de "&amp;Início!$C$7</f>
        <v>Renda líquida de Marcos</v>
      </c>
      <c r="B6" s="30" t="n">
        <f aca="false">Nov!B6</f>
        <v>3500</v>
      </c>
      <c r="C6" s="28"/>
      <c r="D6" s="25" t="n">
        <f aca="false">IF(AND(B6="",C6=""),"",N(C6)-N(B6))</f>
        <v>-3500</v>
      </c>
      <c r="E6" s="5"/>
    </row>
    <row r="7" customFormat="false" ht="15" hidden="false" customHeight="false" outlineLevel="0" collapsed="false">
      <c r="A7" s="15" t="s">
        <v>136</v>
      </c>
      <c r="B7" s="30" t="n">
        <f aca="false">Nov!B7</f>
        <v>0</v>
      </c>
      <c r="C7" s="28"/>
      <c r="D7" s="25" t="str">
        <f aca="false">IF(AND(B7="",C7=""),"",N(C7)-N(B7))</f>
        <v/>
      </c>
      <c r="E7" s="5"/>
    </row>
    <row r="8" customFormat="false" ht="15" hidden="false" customHeight="false" outlineLevel="0" collapsed="false">
      <c r="A8" s="19" t="s">
        <v>110</v>
      </c>
      <c r="B8" s="20" t="n">
        <f aca="false">SUM(B5:B7)</f>
        <v>8000</v>
      </c>
      <c r="C8" s="20" t="n">
        <f aca="false">SUM(C5:C7)</f>
        <v>0</v>
      </c>
      <c r="D8" s="20" t="n">
        <f aca="false">N(C8)-N(B8)</f>
        <v>-8000</v>
      </c>
      <c r="E8" s="29"/>
    </row>
    <row r="9" customFormat="false" ht="15" hidden="false" customHeight="false" outlineLevel="0" collapsed="false">
      <c r="A9" s="15" t="s">
        <v>137</v>
      </c>
      <c r="B9" s="30" t="n">
        <f aca="false">Nov!B9</f>
        <v>0</v>
      </c>
      <c r="C9" s="28"/>
      <c r="D9" s="25" t="str">
        <f aca="false">IF(AND(B9="",C9=""),"",N(C9)-N(B9))</f>
        <v/>
      </c>
      <c r="E9" s="5"/>
    </row>
    <row r="10" customFormat="false" ht="15" hidden="false" customHeight="false" outlineLevel="0" collapsed="false">
      <c r="A10" s="19" t="s">
        <v>111</v>
      </c>
      <c r="B10" s="20" t="n">
        <f aca="false">B8+N(B9)</f>
        <v>8000</v>
      </c>
      <c r="C10" s="20" t="n">
        <f aca="false">C8+N(C9)</f>
        <v>0</v>
      </c>
      <c r="D10" s="20" t="n">
        <f aca="false">N(C10)-N(B10)</f>
        <v>-8000</v>
      </c>
      <c r="E10" s="29"/>
    </row>
    <row r="12" customFormat="false" ht="15" hidden="false" customHeight="false" outlineLevel="0" collapsed="false">
      <c r="A12" s="13" t="s">
        <v>138</v>
      </c>
      <c r="B12" s="14"/>
      <c r="C12" s="14"/>
      <c r="D12" s="14"/>
      <c r="E12" s="14"/>
    </row>
    <row r="13" customFormat="false" ht="15" hidden="false" customHeight="false" outlineLevel="0" collapsed="false">
      <c r="A13" s="15" t="str">
        <f aca="false">Categorias!$C$6</f>
        <v>Moradia (aluguel ou prestação, condomínio)</v>
      </c>
      <c r="B13" s="30" t="n">
        <f aca="false">Nov!B13</f>
        <v>2000</v>
      </c>
      <c r="C13" s="28"/>
      <c r="D13" s="25" t="n">
        <f aca="false">IF(AND(B13="",C13=""),"",N(C13)-N(B13))</f>
        <v>-2000</v>
      </c>
      <c r="E13" s="5"/>
    </row>
    <row r="14" customFormat="false" ht="15" hidden="false" customHeight="false" outlineLevel="0" collapsed="false">
      <c r="A14" s="15" t="str">
        <f aca="false">Categorias!$C$7</f>
        <v>Contas da casa (luz, água, gás, internet, celular)</v>
      </c>
      <c r="B14" s="30" t="n">
        <f aca="false">Nov!B14</f>
        <v>450</v>
      </c>
      <c r="C14" s="28"/>
      <c r="D14" s="25" t="n">
        <f aca="false">IF(AND(B14="",C14=""),"",N(C14)-N(B14))</f>
        <v>-450</v>
      </c>
      <c r="E14" s="5"/>
    </row>
    <row r="15" customFormat="false" ht="15" hidden="false" customHeight="false" outlineLevel="0" collapsed="false">
      <c r="A15" s="15" t="str">
        <f aca="false">Categorias!$C$8</f>
        <v>Alimentação (supermercado e feira)</v>
      </c>
      <c r="B15" s="30" t="n">
        <f aca="false">Nov!B15</f>
        <v>1150</v>
      </c>
      <c r="C15" s="28"/>
      <c r="D15" s="25" t="n">
        <f aca="false">IF(AND(B15="",C15=""),"",N(C15)-N(B15))</f>
        <v>-1150</v>
      </c>
      <c r="E15" s="5"/>
    </row>
    <row r="16" customFormat="false" ht="15" hidden="false" customHeight="false" outlineLevel="0" collapsed="false">
      <c r="A16" s="15" t="str">
        <f aca="false">Categorias!$C$9</f>
        <v>Transporte (combustível, transporte público, aplicativo)</v>
      </c>
      <c r="B16" s="30" t="n">
        <f aca="false">Nov!B16</f>
        <v>350</v>
      </c>
      <c r="C16" s="28"/>
      <c r="D16" s="25" t="n">
        <f aca="false">IF(AND(B16="",C16=""),"",N(C16)-N(B16))</f>
        <v>-350</v>
      </c>
      <c r="E16" s="5"/>
    </row>
    <row r="17" customFormat="false" ht="15" hidden="false" customHeight="false" outlineLevel="0" collapsed="false">
      <c r="A17" s="15" t="str">
        <f aca="false">Categorias!$C$10</f>
        <v>Saúde (plano, farmácia, consultas)</v>
      </c>
      <c r="B17" s="30" t="n">
        <f aca="false">Nov!B17</f>
        <v>250</v>
      </c>
      <c r="C17" s="28"/>
      <c r="D17" s="25" t="n">
        <f aca="false">IF(AND(B17="",C17=""),"",N(C17)-N(B17))</f>
        <v>-250</v>
      </c>
      <c r="E17" s="5"/>
    </row>
    <row r="18" customFormat="false" ht="15" hidden="false" customHeight="false" outlineLevel="0" collapsed="false">
      <c r="A18" s="15" t="str">
        <f aca="false">Categorias!$C$11</f>
        <v>Outros essenciais</v>
      </c>
      <c r="B18" s="30" t="n">
        <f aca="false">Nov!B18</f>
        <v>0</v>
      </c>
      <c r="C18" s="28"/>
      <c r="D18" s="25" t="n">
        <f aca="false">IF(AND(B18="",C18=""),"",N(C18)-N(B18))</f>
        <v>0</v>
      </c>
      <c r="E18" s="5"/>
    </row>
    <row r="19" customFormat="false" ht="15" hidden="false" customHeight="false" outlineLevel="0" collapsed="false">
      <c r="A19" s="19" t="s">
        <v>139</v>
      </c>
      <c r="B19" s="20" t="n">
        <f aca="false">SUM(B13:B18)</f>
        <v>4200</v>
      </c>
      <c r="C19" s="20" t="n">
        <f aca="false">SUM(C13:C18)</f>
        <v>0</v>
      </c>
      <c r="D19" s="20" t="n">
        <f aca="false">N(C19)-N(B19)</f>
        <v>-4200</v>
      </c>
      <c r="E19" s="29"/>
    </row>
    <row r="21" customFormat="false" ht="15" hidden="false" customHeight="false" outlineLevel="0" collapsed="false">
      <c r="A21" s="13" t="s">
        <v>140</v>
      </c>
      <c r="B21" s="14"/>
      <c r="C21" s="14"/>
      <c r="D21" s="14"/>
      <c r="E21" s="14"/>
    </row>
    <row r="22" customFormat="false" ht="15" hidden="false" customHeight="false" outlineLevel="0" collapsed="false">
      <c r="A22" s="15" t="str">
        <f aca="false">Categorias!$C$12</f>
        <v>Financiamento ou empréstimo</v>
      </c>
      <c r="B22" s="30" t="n">
        <f aca="false">Nov!B22</f>
        <v>0</v>
      </c>
      <c r="C22" s="28"/>
      <c r="D22" s="25" t="n">
        <f aca="false">IF(AND(B22="",C22=""),"",N(C22)-N(B22))</f>
        <v>0</v>
      </c>
      <c r="E22" s="5"/>
    </row>
    <row r="23" customFormat="false" ht="15" hidden="false" customHeight="false" outlineLevel="0" collapsed="false">
      <c r="A23" s="15" t="str">
        <f aca="false">Categorias!$C$13</f>
        <v>Parcela do carro</v>
      </c>
      <c r="B23" s="30" t="n">
        <f aca="false">Nov!B23</f>
        <v>900</v>
      </c>
      <c r="C23" s="28"/>
      <c r="D23" s="25" t="n">
        <f aca="false">IF(AND(B23="",C23=""),"",N(C23)-N(B23))</f>
        <v>-900</v>
      </c>
      <c r="E23" s="5"/>
    </row>
    <row r="24" customFormat="false" ht="15" hidden="false" customHeight="false" outlineLevel="0" collapsed="false">
      <c r="A24" s="15" t="str">
        <f aca="false">Categorias!$C$14</f>
        <v>Escola, faculdade e cursos</v>
      </c>
      <c r="B24" s="30" t="n">
        <f aca="false">Nov!B24</f>
        <v>400</v>
      </c>
      <c r="C24" s="28"/>
      <c r="D24" s="25" t="n">
        <f aca="false">IF(AND(B24="",C24=""),"",N(C24)-N(B24))</f>
        <v>-400</v>
      </c>
      <c r="E24" s="5"/>
    </row>
    <row r="25" customFormat="false" ht="15" hidden="false" customHeight="false" outlineLevel="0" collapsed="false">
      <c r="A25" s="15" t="str">
        <f aca="false">Categorias!$C$15</f>
        <v>Seguros mensais</v>
      </c>
      <c r="B25" s="30" t="n">
        <f aca="false">Nov!B25</f>
        <v>0</v>
      </c>
      <c r="C25" s="28"/>
      <c r="D25" s="25" t="n">
        <f aca="false">IF(AND(B25="",C25=""),"",N(C25)-N(B25))</f>
        <v>0</v>
      </c>
      <c r="E25" s="5"/>
    </row>
    <row r="26" customFormat="false" ht="15" hidden="false" customHeight="false" outlineLevel="0" collapsed="false">
      <c r="A26" s="15" t="str">
        <f aca="false">Categorias!$C$16</f>
        <v>Outras parcelas e mensalidades</v>
      </c>
      <c r="B26" s="30" t="n">
        <f aca="false">Nov!B26</f>
        <v>0</v>
      </c>
      <c r="C26" s="28"/>
      <c r="D26" s="25" t="n">
        <f aca="false">IF(AND(B26="",C26=""),"",N(C26)-N(B26))</f>
        <v>0</v>
      </c>
      <c r="E26" s="5"/>
    </row>
    <row r="27" customFormat="false" ht="15" hidden="false" customHeight="false" outlineLevel="0" collapsed="false">
      <c r="A27" s="19" t="s">
        <v>141</v>
      </c>
      <c r="B27" s="20" t="n">
        <f aca="false">SUM(B22:B26)</f>
        <v>1300</v>
      </c>
      <c r="C27" s="20" t="n">
        <f aca="false">SUM(C22:C26)</f>
        <v>0</v>
      </c>
      <c r="D27" s="20" t="n">
        <f aca="false">N(C27)-N(B27)</f>
        <v>-1300</v>
      </c>
      <c r="E27" s="29"/>
    </row>
    <row r="29" customFormat="false" ht="15" hidden="false" customHeight="false" outlineLevel="0" collapsed="false">
      <c r="A29" s="13" t="s">
        <v>142</v>
      </c>
      <c r="B29" s="14"/>
      <c r="C29" s="14"/>
      <c r="D29" s="14"/>
      <c r="E29" s="14"/>
    </row>
    <row r="30" customFormat="false" ht="15" hidden="false" customHeight="false" outlineLevel="0" collapsed="false">
      <c r="A30" s="15" t="s">
        <v>143</v>
      </c>
      <c r="B30" s="30" t="n">
        <f aca="false">Irregulares!$C$28</f>
        <v>500</v>
      </c>
      <c r="C30" s="30" t="str">
        <f aca="false">IF(N(C8)=0,"",Irregulares!$C$28)</f>
        <v/>
      </c>
      <c r="D30" s="25" t="n">
        <f aca="false">N(C30)-N(B30)</f>
        <v>-500</v>
      </c>
    </row>
    <row r="31" customFormat="false" ht="15" hidden="false" customHeight="false" outlineLevel="0" collapsed="false">
      <c r="A31" s="15" t="s">
        <v>144</v>
      </c>
      <c r="B31" s="30" t="n">
        <f aca="false">SUMIF(Irregulares!$D$6:$D$25,12,Irregulares!$C$6:$C$25)</f>
        <v>1200</v>
      </c>
      <c r="C31" s="28"/>
      <c r="D31" s="25" t="n">
        <f aca="false">IF(AND(B31="",C31=""),"",N(C31)-N(B31))</f>
        <v>-1200</v>
      </c>
      <c r="E31" s="2" t="s">
        <v>145</v>
      </c>
    </row>
    <row r="33" customFormat="false" ht="15" hidden="false" customHeight="false" outlineLevel="0" collapsed="false">
      <c r="A33" s="31" t="s">
        <v>146</v>
      </c>
      <c r="B33" s="32" t="n">
        <f aca="false">B8-B19-B27-N(B30)</f>
        <v>2000</v>
      </c>
      <c r="C33" s="32" t="str">
        <f aca="false">IF(N(C8)=0,"",C8-C19-C27-N(C30))</f>
        <v/>
      </c>
      <c r="D33" s="32" t="n">
        <f aca="false">N(C33)-N(B33)</f>
        <v>-2000</v>
      </c>
      <c r="E33" s="33"/>
    </row>
    <row r="35" customFormat="false" ht="15" hidden="false" customHeight="false" outlineLevel="0" collapsed="false">
      <c r="A35" s="13" t="s">
        <v>147</v>
      </c>
      <c r="B35" s="14"/>
      <c r="C35" s="14"/>
      <c r="D35" s="14"/>
      <c r="E35" s="14"/>
    </row>
    <row r="36" customFormat="false" ht="15" hidden="false" customHeight="false" outlineLevel="0" collapsed="false">
      <c r="A36" s="15" t="str">
        <f aca="false">Categorias!$C$17</f>
        <v>Restaurantes e delivery</v>
      </c>
      <c r="B36" s="30" t="n">
        <f aca="false">Nov!B36</f>
        <v>150</v>
      </c>
      <c r="C36" s="28"/>
      <c r="D36" s="25" t="n">
        <f aca="false">IF(AND(B36="",C36=""),"",N(C36)-N(B36))</f>
        <v>-150</v>
      </c>
      <c r="E36" s="5"/>
    </row>
    <row r="37" customFormat="false" ht="15" hidden="false" customHeight="false" outlineLevel="0" collapsed="false">
      <c r="A37" s="15" t="str">
        <f aca="false">Categorias!$C$18</f>
        <v>Lazer e passeios</v>
      </c>
      <c r="B37" s="30" t="n">
        <f aca="false">Nov!B37</f>
        <v>120</v>
      </c>
      <c r="C37" s="28"/>
      <c r="D37" s="25" t="n">
        <f aca="false">IF(AND(B37="",C37=""),"",N(C37)-N(B37))</f>
        <v>-120</v>
      </c>
      <c r="E37" s="5"/>
    </row>
    <row r="38" customFormat="false" ht="15" hidden="false" customHeight="false" outlineLevel="0" collapsed="false">
      <c r="A38" s="15" t="str">
        <f aca="false">Categorias!$C$19</f>
        <v>Compras (roupas, eletrônicos, casa)</v>
      </c>
      <c r="B38" s="30" t="n">
        <f aca="false">Nov!B38</f>
        <v>80</v>
      </c>
      <c r="C38" s="28"/>
      <c r="D38" s="25" t="n">
        <f aca="false">IF(AND(B38="",C38=""),"",N(C38)-N(B38))</f>
        <v>-80</v>
      </c>
      <c r="E38" s="5"/>
    </row>
    <row r="39" customFormat="false" ht="15" hidden="false" customHeight="false" outlineLevel="0" collapsed="false">
      <c r="A39" s="15" t="str">
        <f aca="false">Categorias!$C$20</f>
        <v>Assinaturas e aplicativos</v>
      </c>
      <c r="B39" s="30" t="n">
        <f aca="false">Nov!B39</f>
        <v>50</v>
      </c>
      <c r="C39" s="28"/>
      <c r="D39" s="25" t="n">
        <f aca="false">IF(AND(B39="",C39=""),"",N(C39)-N(B39))</f>
        <v>-50</v>
      </c>
      <c r="E39" s="5"/>
    </row>
    <row r="40" customFormat="false" ht="15" hidden="false" customHeight="false" outlineLevel="0" collapsed="false">
      <c r="A40" s="15" t="str">
        <f aca="false">Categorias!$C$21</f>
        <v>Cuidados pessoais</v>
      </c>
      <c r="B40" s="30" t="n">
        <f aca="false">Nov!B40</f>
        <v>0</v>
      </c>
      <c r="C40" s="28"/>
      <c r="D40" s="25" t="n">
        <f aca="false">IF(AND(B40="",C40=""),"",N(C40)-N(B40))</f>
        <v>0</v>
      </c>
      <c r="E40" s="5"/>
    </row>
    <row r="41" customFormat="false" ht="15" hidden="false" customHeight="false" outlineLevel="0" collapsed="false">
      <c r="A41" s="15" t="str">
        <f aca="false">Categorias!$C$22</f>
        <v>Presentes e outros</v>
      </c>
      <c r="B41" s="30" t="n">
        <f aca="false">Nov!B41</f>
        <v>0</v>
      </c>
      <c r="C41" s="28"/>
      <c r="D41" s="25" t="n">
        <f aca="false">IF(AND(B41="",C41=""),"",N(C41)-N(B41))</f>
        <v>0</v>
      </c>
      <c r="E41" s="5"/>
    </row>
    <row r="42" customFormat="false" ht="15" hidden="false" customHeight="false" outlineLevel="0" collapsed="false">
      <c r="A42" s="19" t="s">
        <v>148</v>
      </c>
      <c r="B42" s="20" t="n">
        <f aca="false">SUM(B36:B41)</f>
        <v>400</v>
      </c>
      <c r="C42" s="20" t="n">
        <f aca="false">SUM(C36:C41)</f>
        <v>0</v>
      </c>
      <c r="D42" s="20" t="n">
        <f aca="false">N(C42)-N(B42)</f>
        <v>-400</v>
      </c>
      <c r="E42" s="29"/>
    </row>
    <row r="43" customFormat="false" ht="15" hidden="false" customHeight="false" outlineLevel="0" collapsed="false">
      <c r="A43" s="31" t="s">
        <v>149</v>
      </c>
      <c r="B43" s="32" t="n">
        <f aca="false">N(B33)-B42</f>
        <v>1600</v>
      </c>
      <c r="C43" s="32" t="str">
        <f aca="false">IF(N(C8)=0,"",N(C33)-C42)</f>
        <v/>
      </c>
      <c r="D43" s="32" t="n">
        <f aca="false">N(C43)-N(B43)</f>
        <v>-1600</v>
      </c>
      <c r="E43" s="33"/>
    </row>
    <row r="45" customFormat="false" ht="15" hidden="false" customHeight="false" outlineLevel="0" collapsed="false">
      <c r="A45" s="13" t="s">
        <v>150</v>
      </c>
      <c r="B45" s="14"/>
      <c r="C45" s="14"/>
      <c r="D45" s="14"/>
      <c r="E45" s="14"/>
    </row>
    <row r="46" customFormat="false" ht="15" hidden="false" customHeight="false" outlineLevel="0" collapsed="false">
      <c r="A46" s="15" t="s">
        <v>151</v>
      </c>
      <c r="B46" s="30" t="n">
        <f aca="false">Nov!B46</f>
        <v>0</v>
      </c>
      <c r="C46" s="28"/>
      <c r="D46" s="25" t="n">
        <f aca="false">IF(AND(B46="",C46=""),"",N(C46)-N(B46))</f>
        <v>0</v>
      </c>
      <c r="E46" s="5"/>
    </row>
    <row r="47" customFormat="false" ht="15" hidden="false" customHeight="false" outlineLevel="0" collapsed="false">
      <c r="A47" s="15" t="s">
        <v>34</v>
      </c>
      <c r="B47" s="30" t="n">
        <f aca="false">Nov!B47</f>
        <v>1000</v>
      </c>
      <c r="C47" s="28"/>
      <c r="D47" s="25" t="n">
        <f aca="false">IF(AND(B47="",C47=""),"",N(C47)-N(B47))</f>
        <v>-1000</v>
      </c>
      <c r="E47" s="5"/>
    </row>
    <row r="48" customFormat="false" ht="15" hidden="false" customHeight="false" outlineLevel="0" collapsed="false">
      <c r="A48" s="15" t="s">
        <v>152</v>
      </c>
      <c r="B48" s="30" t="n">
        <f aca="false">Nov!B48</f>
        <v>120</v>
      </c>
      <c r="C48" s="28"/>
      <c r="D48" s="25" t="n">
        <f aca="false">IF(AND(B48="",C48=""),"",N(C48)-N(B48))</f>
        <v>-120</v>
      </c>
      <c r="E48" s="5"/>
    </row>
    <row r="49" customFormat="false" ht="15" hidden="false" customHeight="false" outlineLevel="0" collapsed="false">
      <c r="A49" s="15" t="str">
        <f aca="false">IF(Metas!$B$6="","Meta 1 (aba Metas)","Meta 1: "&amp;Metas!$B$6)</f>
        <v>Meta 1: Entrada do apartamento</v>
      </c>
      <c r="B49" s="30" t="n">
        <f aca="false">Nov!B49</f>
        <v>480</v>
      </c>
      <c r="C49" s="28"/>
      <c r="D49" s="25" t="n">
        <f aca="false">IF(AND(B49="",C49=""),"",N(C49)-N(B49))</f>
        <v>-480</v>
      </c>
      <c r="E49" s="5"/>
    </row>
    <row r="50" customFormat="false" ht="15" hidden="false" customHeight="false" outlineLevel="0" collapsed="false">
      <c r="A50" s="15" t="str">
        <f aca="false">IF(Metas!$B$7="","Meta 2 (aba Metas)","Meta 2: "&amp;Metas!$B$7)</f>
        <v>Meta 2: Faculdade do filho</v>
      </c>
      <c r="B50" s="30" t="n">
        <f aca="false">Nov!B50</f>
        <v>0</v>
      </c>
      <c r="C50" s="28"/>
      <c r="D50" s="25" t="n">
        <f aca="false">IF(AND(B50="",C50=""),"",N(C50)-N(B50))</f>
        <v>0</v>
      </c>
      <c r="E50" s="5"/>
    </row>
    <row r="51" customFormat="false" ht="15" hidden="false" customHeight="false" outlineLevel="0" collapsed="false">
      <c r="A51" s="15" t="str">
        <f aca="false">IF(Metas!$B$8="","Meta 3 (aba Metas)","Meta 3: "&amp;Metas!$B$8)</f>
        <v>Meta 3 (aba Metas)</v>
      </c>
      <c r="B51" s="30" t="n">
        <f aca="false">Nov!B51</f>
        <v>0</v>
      </c>
      <c r="C51" s="28"/>
      <c r="D51" s="25" t="n">
        <f aca="false">IF(AND(B51="",C51=""),"",N(C51)-N(B51))</f>
        <v>0</v>
      </c>
      <c r="E51" s="5"/>
    </row>
    <row r="52" customFormat="false" ht="15" hidden="false" customHeight="false" outlineLevel="0" collapsed="false">
      <c r="A52" s="15" t="str">
        <f aca="false">IF(Metas!$B$9="","Meta 4 (aba Metas)","Meta 4: "&amp;Metas!$B$9)</f>
        <v>Meta 4 (aba Metas)</v>
      </c>
      <c r="B52" s="30" t="n">
        <f aca="false">Nov!B52</f>
        <v>0</v>
      </c>
      <c r="C52" s="28"/>
      <c r="D52" s="25" t="n">
        <f aca="false">IF(AND(B52="",C52=""),"",N(C52)-N(B52))</f>
        <v>0</v>
      </c>
      <c r="E52" s="5"/>
    </row>
    <row r="53" customFormat="false" ht="15" hidden="false" customHeight="false" outlineLevel="0" collapsed="false">
      <c r="A53" s="15" t="str">
        <f aca="false">IF(Metas!$B$10="","Meta 5 (aba Metas)","Meta 5: "&amp;Metas!$B$10)</f>
        <v>Meta 5 (aba Metas)</v>
      </c>
      <c r="B53" s="30" t="n">
        <f aca="false">Nov!B53</f>
        <v>0</v>
      </c>
      <c r="C53" s="28"/>
      <c r="D53" s="25" t="n">
        <f aca="false">IF(AND(B53="",C53=""),"",N(C53)-N(B53))</f>
        <v>0</v>
      </c>
      <c r="E53" s="5"/>
    </row>
    <row r="54" customFormat="false" ht="15" hidden="false" customHeight="false" outlineLevel="0" collapsed="false">
      <c r="A54" s="15" t="s">
        <v>153</v>
      </c>
      <c r="B54" s="30" t="n">
        <f aca="false">Nov!B54</f>
        <v>0</v>
      </c>
      <c r="C54" s="28"/>
      <c r="D54" s="25" t="n">
        <f aca="false">IF(AND(B54="",C54=""),"",N(C54)-N(B54))</f>
        <v>0</v>
      </c>
      <c r="E54" s="5"/>
    </row>
    <row r="55" customFormat="false" ht="15" hidden="false" customHeight="false" outlineLevel="0" collapsed="false">
      <c r="A55" s="19" t="s">
        <v>119</v>
      </c>
      <c r="B55" s="20" t="n">
        <f aca="false">SUM(B46:B54)</f>
        <v>1600</v>
      </c>
      <c r="C55" s="20" t="n">
        <f aca="false">SUM(C46:C54)</f>
        <v>0</v>
      </c>
      <c r="D55" s="20" t="n">
        <f aca="false">N(C55)-N(B55)</f>
        <v>-1600</v>
      </c>
      <c r="E55" s="29"/>
    </row>
    <row r="57" customFormat="false" ht="15" hidden="false" customHeight="false" outlineLevel="0" collapsed="false">
      <c r="A57" s="31" t="s">
        <v>154</v>
      </c>
      <c r="B57" s="32" t="n">
        <f aca="false">N(B43)-B55+N(B9)</f>
        <v>0</v>
      </c>
      <c r="C57" s="32" t="str">
        <f aca="false">IF(N(C8)=0,"",N(C43)-C55+N(C9))</f>
        <v/>
      </c>
      <c r="D57" s="32" t="n">
        <f aca="false">N(C57)-N(B57)</f>
        <v>0</v>
      </c>
      <c r="E57" s="34" t="s">
        <v>155</v>
      </c>
    </row>
    <row r="59" customFormat="false" ht="15" hidden="false" customHeight="false" outlineLevel="0" collapsed="false">
      <c r="A59" s="13" t="s">
        <v>156</v>
      </c>
      <c r="B59" s="14"/>
      <c r="C59" s="14"/>
      <c r="D59" s="14"/>
      <c r="E59" s="14"/>
    </row>
    <row r="60" customFormat="false" ht="15" hidden="false" customHeight="false" outlineLevel="0" collapsed="false">
      <c r="A60" s="15" t="s">
        <v>126</v>
      </c>
      <c r="C60" s="27" t="n">
        <f aca="false">IFERROR((C55-N(C48))/C10,0)</f>
        <v>0</v>
      </c>
    </row>
    <row r="61" customFormat="false" ht="15" hidden="false" customHeight="false" outlineLevel="0" collapsed="false">
      <c r="A61" s="15" t="s">
        <v>157</v>
      </c>
      <c r="C61" s="27" t="n">
        <f aca="false">IFERROR((C19+C27+N(C30))/C8,0)</f>
        <v>0</v>
      </c>
    </row>
    <row r="62" customFormat="false" ht="15" hidden="false" customHeight="false" outlineLevel="0" collapsed="false">
      <c r="A62" s="15" t="s">
        <v>158</v>
      </c>
      <c r="C62" s="27" t="n">
        <f aca="false">IFERROR(C42/C8,0)</f>
        <v>0</v>
      </c>
    </row>
    <row r="63" customFormat="false" ht="15" hidden="false" customHeight="false" outlineLevel="0" collapsed="false">
      <c r="A63" s="15" t="s">
        <v>159</v>
      </c>
      <c r="C63" s="27" t="n">
        <f aca="false">IFERROR(C55/C8,0)</f>
        <v>0</v>
      </c>
    </row>
    <row r="64" customFormat="false" ht="15" hidden="false" customHeight="false" outlineLevel="0" collapsed="false">
      <c r="A64" s="2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183"/>
    <pageSetUpPr fitToPage="true"/>
  </sheetPr>
  <dimension ref="B2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40"/>
  </cols>
  <sheetData>
    <row r="2" customFormat="false" ht="17.35" hidden="false" customHeight="false" outlineLevel="0" collapsed="false">
      <c r="B2" s="1" t="s">
        <v>172</v>
      </c>
    </row>
    <row r="3" customFormat="false" ht="15" hidden="false" customHeight="false" outlineLevel="0" collapsed="false">
      <c r="B3" s="2" t="s">
        <v>173</v>
      </c>
    </row>
    <row r="5" customFormat="false" ht="23.85" hidden="false" customHeight="false" outlineLevel="0" collapsed="false">
      <c r="B5" s="22" t="s">
        <v>174</v>
      </c>
      <c r="C5" s="22" t="s">
        <v>175</v>
      </c>
      <c r="D5" s="22" t="s">
        <v>176</v>
      </c>
      <c r="E5" s="22" t="s">
        <v>134</v>
      </c>
    </row>
    <row r="6" customFormat="false" ht="15" hidden="false" customHeight="false" outlineLevel="0" collapsed="false">
      <c r="B6" s="5" t="s">
        <v>177</v>
      </c>
      <c r="C6" s="28" t="n">
        <v>1800</v>
      </c>
      <c r="D6" s="4" t="n">
        <v>1</v>
      </c>
      <c r="E6" s="5"/>
    </row>
    <row r="7" customFormat="false" ht="15" hidden="false" customHeight="false" outlineLevel="0" collapsed="false">
      <c r="B7" s="5" t="s">
        <v>178</v>
      </c>
      <c r="C7" s="28" t="n">
        <v>2400</v>
      </c>
      <c r="D7" s="4" t="n">
        <v>3</v>
      </c>
      <c r="E7" s="5"/>
    </row>
    <row r="8" customFormat="false" ht="15" hidden="false" customHeight="false" outlineLevel="0" collapsed="false">
      <c r="B8" s="5" t="s">
        <v>179</v>
      </c>
      <c r="C8" s="28" t="n">
        <v>600</v>
      </c>
      <c r="D8" s="4" t="n">
        <v>2</v>
      </c>
      <c r="E8" s="5"/>
    </row>
    <row r="9" customFormat="false" ht="15" hidden="false" customHeight="false" outlineLevel="0" collapsed="false">
      <c r="B9" s="5" t="s">
        <v>180</v>
      </c>
      <c r="C9" s="28" t="n">
        <v>1200</v>
      </c>
      <c r="D9" s="4" t="n">
        <v>12</v>
      </c>
      <c r="E9" s="5"/>
    </row>
    <row r="10" customFormat="false" ht="15" hidden="false" customHeight="false" outlineLevel="0" collapsed="false">
      <c r="B10" s="5"/>
      <c r="C10" s="28"/>
      <c r="D10" s="4"/>
      <c r="E10" s="5"/>
    </row>
    <row r="11" customFormat="false" ht="15" hidden="false" customHeight="false" outlineLevel="0" collapsed="false">
      <c r="B11" s="5"/>
      <c r="C11" s="28"/>
      <c r="D11" s="4"/>
      <c r="E11" s="5"/>
    </row>
    <row r="12" customFormat="false" ht="15" hidden="false" customHeight="false" outlineLevel="0" collapsed="false">
      <c r="B12" s="5"/>
      <c r="C12" s="28"/>
      <c r="D12" s="4"/>
      <c r="E12" s="5"/>
    </row>
    <row r="13" customFormat="false" ht="15" hidden="false" customHeight="false" outlineLevel="0" collapsed="false">
      <c r="B13" s="5"/>
      <c r="C13" s="28"/>
      <c r="D13" s="4"/>
      <c r="E13" s="5"/>
    </row>
    <row r="14" customFormat="false" ht="15" hidden="false" customHeight="false" outlineLevel="0" collapsed="false">
      <c r="B14" s="5"/>
      <c r="C14" s="28"/>
      <c r="D14" s="4"/>
      <c r="E14" s="5"/>
    </row>
    <row r="15" customFormat="false" ht="15" hidden="false" customHeight="false" outlineLevel="0" collapsed="false">
      <c r="B15" s="5"/>
      <c r="C15" s="28"/>
      <c r="D15" s="4"/>
      <c r="E15" s="5"/>
    </row>
    <row r="16" customFormat="false" ht="15" hidden="false" customHeight="false" outlineLevel="0" collapsed="false">
      <c r="B16" s="5"/>
      <c r="C16" s="28"/>
      <c r="D16" s="4"/>
      <c r="E16" s="5"/>
    </row>
    <row r="17" customFormat="false" ht="15" hidden="false" customHeight="false" outlineLevel="0" collapsed="false">
      <c r="B17" s="5"/>
      <c r="C17" s="28"/>
      <c r="D17" s="4"/>
      <c r="E17" s="5"/>
    </row>
    <row r="18" customFormat="false" ht="15" hidden="false" customHeight="false" outlineLevel="0" collapsed="false">
      <c r="B18" s="5"/>
      <c r="C18" s="28"/>
      <c r="D18" s="4"/>
      <c r="E18" s="5"/>
    </row>
    <row r="19" customFormat="false" ht="15" hidden="false" customHeight="false" outlineLevel="0" collapsed="false">
      <c r="B19" s="5"/>
      <c r="C19" s="28"/>
      <c r="D19" s="4"/>
      <c r="E19" s="5"/>
    </row>
    <row r="20" customFormat="false" ht="15" hidden="false" customHeight="false" outlineLevel="0" collapsed="false">
      <c r="B20" s="5"/>
      <c r="C20" s="28"/>
      <c r="D20" s="4"/>
      <c r="E20" s="5"/>
    </row>
    <row r="21" customFormat="false" ht="15" hidden="false" customHeight="false" outlineLevel="0" collapsed="false">
      <c r="B21" s="5"/>
      <c r="C21" s="28"/>
      <c r="D21" s="4"/>
      <c r="E21" s="5"/>
    </row>
    <row r="22" customFormat="false" ht="15" hidden="false" customHeight="false" outlineLevel="0" collapsed="false">
      <c r="B22" s="5"/>
      <c r="C22" s="28"/>
      <c r="D22" s="4"/>
      <c r="E22" s="5"/>
    </row>
    <row r="23" customFormat="false" ht="15" hidden="false" customHeight="false" outlineLevel="0" collapsed="false">
      <c r="B23" s="5"/>
      <c r="C23" s="28"/>
      <c r="D23" s="4"/>
      <c r="E23" s="5"/>
    </row>
    <row r="24" customFormat="false" ht="15" hidden="false" customHeight="false" outlineLevel="0" collapsed="false">
      <c r="B24" s="5"/>
      <c r="C24" s="28"/>
      <c r="D24" s="4"/>
      <c r="E24" s="5"/>
    </row>
    <row r="25" customFormat="false" ht="15" hidden="false" customHeight="false" outlineLevel="0" collapsed="false">
      <c r="B25" s="5"/>
      <c r="C25" s="28"/>
      <c r="D25" s="4"/>
      <c r="E25" s="5"/>
    </row>
    <row r="27" customFormat="false" ht="15" hidden="false" customHeight="false" outlineLevel="0" collapsed="false">
      <c r="B27" s="19" t="s">
        <v>181</v>
      </c>
      <c r="C27" s="20" t="n">
        <f aca="false">SUM(C6:C25)</f>
        <v>6000</v>
      </c>
    </row>
    <row r="28" customFormat="false" ht="15" hidden="false" customHeight="false" outlineLevel="0" collapsed="false">
      <c r="B28" s="19" t="s">
        <v>182</v>
      </c>
      <c r="C28" s="20" t="n">
        <f aca="false">C27/12</f>
        <v>500</v>
      </c>
    </row>
  </sheetData>
  <dataValidations count="1">
    <dataValidation allowBlank="true" errorStyle="stop" operator="between" showDropDown="false" showErrorMessage="false" showInputMessage="false" sqref="D6:D25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183"/>
    <pageSetUpPr fitToPage="true"/>
  </sheetPr>
  <dimension ref="B2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5" min="4" style="0" width="18"/>
    <col collapsed="false" customWidth="true" hidden="false" outlineLevel="0" max="6" min="6" style="0" width="16"/>
  </cols>
  <sheetData>
    <row r="2" customFormat="false" ht="17.35" hidden="false" customHeight="false" outlineLevel="0" collapsed="false">
      <c r="B2" s="1" t="s">
        <v>183</v>
      </c>
    </row>
    <row r="3" customFormat="false" ht="15" hidden="false" customHeight="false" outlineLevel="0" collapsed="false">
      <c r="B3" s="2" t="s">
        <v>184</v>
      </c>
    </row>
    <row r="5" customFormat="false" ht="15" hidden="false" customHeight="false" outlineLevel="0" collapsed="false">
      <c r="B5" s="22" t="s">
        <v>130</v>
      </c>
      <c r="C5" s="22" t="s">
        <v>185</v>
      </c>
      <c r="D5" s="22" t="s">
        <v>186</v>
      </c>
      <c r="E5" s="22" t="s">
        <v>187</v>
      </c>
      <c r="F5" s="22" t="s">
        <v>188</v>
      </c>
    </row>
    <row r="6" customFormat="false" ht="15" hidden="false" customHeight="false" outlineLevel="0" collapsed="false">
      <c r="B6" s="13" t="s">
        <v>189</v>
      </c>
      <c r="C6" s="14"/>
      <c r="D6" s="14"/>
      <c r="E6" s="14"/>
      <c r="F6" s="14"/>
    </row>
    <row r="7" customFormat="false" ht="15" hidden="false" customHeight="false" outlineLevel="0" collapsed="false">
      <c r="B7" s="15" t="s">
        <v>190</v>
      </c>
      <c r="C7" s="15" t="s">
        <v>191</v>
      </c>
      <c r="D7" s="28" t="n">
        <v>1500</v>
      </c>
      <c r="E7" s="28" t="n">
        <v>2000</v>
      </c>
      <c r="F7" s="25" t="n">
        <f aca="false">N(E7)-N(D7)</f>
        <v>500</v>
      </c>
    </row>
    <row r="8" customFormat="false" ht="15" hidden="false" customHeight="false" outlineLevel="0" collapsed="false">
      <c r="B8" s="15" t="s">
        <v>34</v>
      </c>
      <c r="C8" s="15" t="s">
        <v>191</v>
      </c>
      <c r="D8" s="28" t="n">
        <v>4000</v>
      </c>
      <c r="E8" s="28" t="n">
        <v>1000</v>
      </c>
      <c r="F8" s="25" t="n">
        <f aca="false">N(E8)-N(D8)</f>
        <v>-3000</v>
      </c>
    </row>
    <row r="9" customFormat="false" ht="15" hidden="false" customHeight="false" outlineLevel="0" collapsed="false">
      <c r="B9" s="15" t="s">
        <v>192</v>
      </c>
      <c r="C9" s="15" t="s">
        <v>191</v>
      </c>
      <c r="D9" s="28" t="n">
        <v>0</v>
      </c>
      <c r="E9" s="28" t="n">
        <v>0</v>
      </c>
      <c r="F9" s="25" t="n">
        <f aca="false">N(E9)-N(D9)</f>
        <v>0</v>
      </c>
    </row>
    <row r="10" customFormat="false" ht="15" hidden="false" customHeight="false" outlineLevel="0" collapsed="false">
      <c r="B10" s="15" t="s">
        <v>193</v>
      </c>
      <c r="C10" s="15" t="s">
        <v>194</v>
      </c>
      <c r="D10" s="28" t="n">
        <v>0</v>
      </c>
      <c r="E10" s="28" t="n">
        <v>480</v>
      </c>
      <c r="F10" s="25" t="n">
        <f aca="false">N(E10)-N(D10)</f>
        <v>480</v>
      </c>
    </row>
    <row r="11" customFormat="false" ht="15" hidden="false" customHeight="false" outlineLevel="0" collapsed="false">
      <c r="B11" s="15" t="s">
        <v>195</v>
      </c>
      <c r="C11" s="15" t="s">
        <v>194</v>
      </c>
      <c r="D11" s="28" t="n">
        <v>0</v>
      </c>
      <c r="E11" s="28" t="n">
        <v>0</v>
      </c>
      <c r="F11" s="25" t="n">
        <f aca="false">N(E11)-N(D11)</f>
        <v>0</v>
      </c>
    </row>
    <row r="12" customFormat="false" ht="15" hidden="false" customHeight="false" outlineLevel="0" collapsed="false">
      <c r="B12" s="15" t="s">
        <v>196</v>
      </c>
      <c r="C12" s="15" t="s">
        <v>194</v>
      </c>
      <c r="D12" s="28" t="n">
        <v>15000</v>
      </c>
      <c r="E12" s="28" t="n">
        <v>18000</v>
      </c>
      <c r="F12" s="25" t="n">
        <f aca="false">N(E12)-N(D12)</f>
        <v>3000</v>
      </c>
    </row>
    <row r="13" customFormat="false" ht="15" hidden="false" customHeight="false" outlineLevel="0" collapsed="false">
      <c r="B13" s="15" t="s">
        <v>197</v>
      </c>
      <c r="C13" s="15" t="s">
        <v>198</v>
      </c>
      <c r="D13" s="28" t="n">
        <v>0</v>
      </c>
      <c r="E13" s="28" t="n">
        <v>0</v>
      </c>
      <c r="F13" s="25" t="n">
        <f aca="false">N(E13)-N(D13)</f>
        <v>0</v>
      </c>
    </row>
    <row r="14" customFormat="false" ht="15" hidden="false" customHeight="false" outlineLevel="0" collapsed="false">
      <c r="B14" s="15" t="s">
        <v>199</v>
      </c>
      <c r="C14" s="15" t="s">
        <v>194</v>
      </c>
      <c r="D14" s="28" t="n">
        <v>0</v>
      </c>
      <c r="E14" s="28" t="n">
        <v>0</v>
      </c>
      <c r="F14" s="25" t="n">
        <f aca="false">N(E14)-N(D14)</f>
        <v>0</v>
      </c>
    </row>
    <row r="15" customFormat="false" ht="15" hidden="false" customHeight="false" outlineLevel="0" collapsed="false">
      <c r="B15" s="15" t="s">
        <v>200</v>
      </c>
      <c r="C15" s="15" t="s">
        <v>198</v>
      </c>
      <c r="D15" s="28" t="n">
        <v>50000</v>
      </c>
      <c r="E15" s="28" t="n">
        <v>45000</v>
      </c>
      <c r="F15" s="25" t="n">
        <f aca="false">N(E15)-N(D15)</f>
        <v>-5000</v>
      </c>
    </row>
    <row r="16" customFormat="false" ht="15" hidden="false" customHeight="false" outlineLevel="0" collapsed="false">
      <c r="B16" s="15" t="s">
        <v>201</v>
      </c>
      <c r="C16" s="15" t="s">
        <v>202</v>
      </c>
      <c r="D16" s="28" t="n">
        <v>0</v>
      </c>
      <c r="E16" s="28" t="n">
        <v>0</v>
      </c>
      <c r="F16" s="25" t="n">
        <f aca="false">N(E16)-N(D16)</f>
        <v>0</v>
      </c>
    </row>
    <row r="17" customFormat="false" ht="15" hidden="false" customHeight="false" outlineLevel="0" collapsed="false">
      <c r="B17" s="15" t="s">
        <v>203</v>
      </c>
      <c r="C17" s="15" t="s">
        <v>198</v>
      </c>
      <c r="D17" s="28" t="n">
        <v>0</v>
      </c>
      <c r="E17" s="28" t="n">
        <v>0</v>
      </c>
      <c r="F17" s="25" t="n">
        <f aca="false">N(E17)-N(D17)</f>
        <v>0</v>
      </c>
    </row>
    <row r="18" customFormat="false" ht="15" hidden="false" customHeight="false" outlineLevel="0" collapsed="false">
      <c r="B18" s="19" t="s">
        <v>204</v>
      </c>
      <c r="C18" s="11"/>
      <c r="D18" s="20" t="n">
        <f aca="false">SUM(D7:D17)</f>
        <v>70500</v>
      </c>
      <c r="E18" s="20" t="n">
        <f aca="false">SUM(E7:E17)</f>
        <v>66480</v>
      </c>
      <c r="F18" s="20" t="n">
        <f aca="false">SUM(F7:F17)</f>
        <v>-4020</v>
      </c>
    </row>
    <row r="20" customFormat="false" ht="15" hidden="false" customHeight="false" outlineLevel="0" collapsed="false">
      <c r="B20" s="13" t="s">
        <v>205</v>
      </c>
      <c r="C20" s="14"/>
      <c r="D20" s="14"/>
      <c r="E20" s="14"/>
      <c r="F20" s="14"/>
    </row>
    <row r="21" customFormat="false" ht="15" hidden="false" customHeight="false" outlineLevel="0" collapsed="false">
      <c r="B21" s="15" t="s">
        <v>206</v>
      </c>
      <c r="C21" s="15" t="s">
        <v>207</v>
      </c>
      <c r="D21" s="28" t="n">
        <v>0</v>
      </c>
      <c r="E21" s="28" t="n">
        <v>0</v>
      </c>
      <c r="F21" s="25" t="n">
        <f aca="false">N(E21)-N(D21)</f>
        <v>0</v>
      </c>
    </row>
    <row r="22" customFormat="false" ht="15" hidden="false" customHeight="false" outlineLevel="0" collapsed="false">
      <c r="B22" s="15" t="s">
        <v>208</v>
      </c>
      <c r="C22" s="15" t="s">
        <v>207</v>
      </c>
      <c r="D22" s="28" t="n">
        <v>25000</v>
      </c>
      <c r="E22" s="28" t="n">
        <v>20000</v>
      </c>
      <c r="F22" s="25" t="n">
        <f aca="false">N(E22)-N(D22)</f>
        <v>-5000</v>
      </c>
    </row>
    <row r="23" customFormat="false" ht="15" hidden="false" customHeight="false" outlineLevel="0" collapsed="false">
      <c r="B23" s="15" t="s">
        <v>209</v>
      </c>
      <c r="C23" s="15" t="s">
        <v>207</v>
      </c>
      <c r="D23" s="28" t="n">
        <v>0</v>
      </c>
      <c r="E23" s="28" t="n">
        <v>0</v>
      </c>
      <c r="F23" s="25" t="n">
        <f aca="false">N(E23)-N(D23)</f>
        <v>0</v>
      </c>
    </row>
    <row r="24" customFormat="false" ht="15" hidden="false" customHeight="false" outlineLevel="0" collapsed="false">
      <c r="B24" s="15" t="s">
        <v>210</v>
      </c>
      <c r="C24" s="15" t="s">
        <v>207</v>
      </c>
      <c r="D24" s="28" t="n">
        <v>3000</v>
      </c>
      <c r="E24" s="28" t="n">
        <v>0</v>
      </c>
      <c r="F24" s="25" t="n">
        <f aca="false">N(E24)-N(D24)</f>
        <v>-3000</v>
      </c>
    </row>
    <row r="25" customFormat="false" ht="15" hidden="false" customHeight="false" outlineLevel="0" collapsed="false">
      <c r="B25" s="15" t="s">
        <v>211</v>
      </c>
      <c r="C25" s="15" t="s">
        <v>207</v>
      </c>
      <c r="D25" s="28" t="n">
        <v>0</v>
      </c>
      <c r="E25" s="28" t="n">
        <v>0</v>
      </c>
      <c r="F25" s="25" t="n">
        <f aca="false">N(E25)-N(D25)</f>
        <v>0</v>
      </c>
    </row>
    <row r="26" customFormat="false" ht="15" hidden="false" customHeight="false" outlineLevel="0" collapsed="false">
      <c r="B26" s="15" t="s">
        <v>212</v>
      </c>
      <c r="C26" s="15" t="s">
        <v>207</v>
      </c>
      <c r="D26" s="28" t="n">
        <v>0</v>
      </c>
      <c r="E26" s="28" t="n">
        <v>0</v>
      </c>
      <c r="F26" s="25" t="n">
        <f aca="false">N(E26)-N(D26)</f>
        <v>0</v>
      </c>
    </row>
    <row r="27" customFormat="false" ht="15" hidden="false" customHeight="false" outlineLevel="0" collapsed="false">
      <c r="B27" s="19" t="s">
        <v>213</v>
      </c>
      <c r="C27" s="11"/>
      <c r="D27" s="20" t="n">
        <f aca="false">SUM(D21:D26)</f>
        <v>28000</v>
      </c>
      <c r="E27" s="20" t="n">
        <f aca="false">SUM(E21:E26)</f>
        <v>20000</v>
      </c>
      <c r="F27" s="20" t="n">
        <f aca="false">SUM(F21:F26)</f>
        <v>-8000</v>
      </c>
    </row>
    <row r="28" customFormat="false" ht="15" hidden="false" customHeight="false" outlineLevel="0" collapsed="false">
      <c r="B28" s="2" t="s">
        <v>214</v>
      </c>
      <c r="E28" s="35" t="n">
        <f aca="false">Dívidas!$D$27</f>
        <v>23000</v>
      </c>
    </row>
    <row r="30" customFormat="false" ht="15" hidden="false" customHeight="false" outlineLevel="0" collapsed="false">
      <c r="B30" s="31" t="s">
        <v>215</v>
      </c>
      <c r="C30" s="36"/>
      <c r="D30" s="32" t="n">
        <f aca="false">D18-D27</f>
        <v>42500</v>
      </c>
      <c r="E30" s="32" t="n">
        <f aca="false">E18-E27</f>
        <v>46480</v>
      </c>
      <c r="F30" s="32" t="n">
        <f aca="false">F18-F27</f>
        <v>3980</v>
      </c>
    </row>
    <row r="32" customFormat="false" ht="15" hidden="false" customHeight="false" outlineLevel="0" collapsed="false">
      <c r="B32" s="15" t="s">
        <v>216</v>
      </c>
      <c r="E32" s="28" t="n">
        <v>0</v>
      </c>
    </row>
    <row r="34" customFormat="false" ht="15" hidden="false" customHeight="false" outlineLevel="0" collapsed="false">
      <c r="B34" s="3" t="s">
        <v>217</v>
      </c>
    </row>
    <row r="35" customFormat="false" ht="15" hidden="false" customHeight="false" outlineLevel="0" collapsed="false">
      <c r="B35" s="15" t="s">
        <v>218</v>
      </c>
      <c r="E35" s="37" t="n">
        <f aca="false">IFERROR(SUMIF(C7:C17,"Liquidez rápida",E7:E17)/(Resumo!$O$9+Resumo!$O$10),0)</f>
        <v>0.54678007290401</v>
      </c>
    </row>
    <row r="36" customFormat="false" ht="15" hidden="false" customHeight="false" outlineLevel="0" collapsed="false">
      <c r="B36" s="15" t="s">
        <v>219</v>
      </c>
      <c r="E36" s="27" t="n">
        <f aca="false">IFERROR(SUMIF(C7:C17,"Empresa",E7:E17)/E18,0)</f>
        <v>0</v>
      </c>
    </row>
    <row r="37" customFormat="false" ht="15" hidden="false" customHeight="false" outlineLevel="0" collapsed="false">
      <c r="B37" s="15" t="s">
        <v>220</v>
      </c>
      <c r="E37" s="27" t="n">
        <f aca="false">IFERROR(E27/E18,0)</f>
        <v>0.300842358604092</v>
      </c>
    </row>
    <row r="38" customFormat="false" ht="15" hidden="false" customHeight="false" outlineLevel="0" collapsed="false">
      <c r="B38" s="15" t="s">
        <v>221</v>
      </c>
      <c r="E38" s="27" t="n">
        <f aca="false">IFERROR(E32/E30,0)</f>
        <v>0</v>
      </c>
    </row>
    <row r="40" customFormat="false" ht="15" hidden="false" customHeight="false" outlineLevel="0" collapsed="false">
      <c r="B40" s="2" t="s">
        <v>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183"/>
    <pageSetUpPr fitToPage="true"/>
  </sheetPr>
  <dimension ref="B2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1" min="10" style="0" width="12"/>
  </cols>
  <sheetData>
    <row r="2" customFormat="false" ht="17.35" hidden="false" customHeight="false" outlineLevel="0" collapsed="false">
      <c r="B2" s="1" t="s">
        <v>223</v>
      </c>
    </row>
    <row r="3" customFormat="false" ht="15" hidden="false" customHeight="false" outlineLevel="0" collapsed="false">
      <c r="B3" s="2" t="s">
        <v>224</v>
      </c>
    </row>
    <row r="5" customFormat="false" ht="23.85" hidden="false" customHeight="false" outlineLevel="0" collapsed="false">
      <c r="B5" s="22" t="s">
        <v>225</v>
      </c>
      <c r="C5" s="22" t="s">
        <v>185</v>
      </c>
      <c r="D5" s="22" t="s">
        <v>226</v>
      </c>
      <c r="E5" s="22" t="s">
        <v>227</v>
      </c>
      <c r="F5" s="22" t="s">
        <v>228</v>
      </c>
      <c r="G5" s="22" t="s">
        <v>229</v>
      </c>
      <c r="H5" s="22" t="s">
        <v>230</v>
      </c>
      <c r="I5" s="22" t="s">
        <v>231</v>
      </c>
      <c r="J5" s="22" t="s">
        <v>232</v>
      </c>
      <c r="K5" s="22" t="s">
        <v>233</v>
      </c>
    </row>
    <row r="6" customFormat="false" ht="15" hidden="false" customHeight="false" outlineLevel="0" collapsed="false">
      <c r="B6" s="5" t="s">
        <v>234</v>
      </c>
      <c r="C6" s="5" t="s">
        <v>235</v>
      </c>
      <c r="D6" s="28" t="n">
        <v>3000</v>
      </c>
      <c r="E6" s="28" t="n">
        <v>300</v>
      </c>
      <c r="F6" s="38" t="n">
        <v>0.12</v>
      </c>
      <c r="G6" s="39" t="n">
        <f aca="false">IF(F6="","",(1+F6)^12-1)</f>
        <v>2.89597599254698</v>
      </c>
      <c r="H6" s="4" t="n">
        <v>0</v>
      </c>
      <c r="I6" s="5" t="s">
        <v>236</v>
      </c>
      <c r="J6" s="40" t="n">
        <f aca="false">IF(OR(D6="",N(D6)=0,F6=""),"",COUNTIFS($F$6:$F$25,"&gt;"&amp;F6,$D$6:$D$25,"&gt;0")+1)</f>
        <v>1</v>
      </c>
      <c r="K6" s="40" t="n">
        <f aca="false">IF(OR(D6="",N(D6)=0),"",COUNTIFS($D$6:$D$25,"&lt;"&amp;D6,$D$6:$D$25,"&gt;0")+1)</f>
        <v>1</v>
      </c>
    </row>
    <row r="7" customFormat="false" ht="15" hidden="false" customHeight="false" outlineLevel="0" collapsed="false">
      <c r="B7" s="5" t="s">
        <v>237</v>
      </c>
      <c r="C7" s="5" t="s">
        <v>238</v>
      </c>
      <c r="D7" s="28" t="n">
        <v>20000</v>
      </c>
      <c r="E7" s="28" t="n">
        <v>900</v>
      </c>
      <c r="F7" s="38" t="n">
        <v>0.018</v>
      </c>
      <c r="G7" s="39" t="n">
        <f aca="false">IF(F7="","",(1+F7)^12-1)</f>
        <v>0.238720531575528</v>
      </c>
      <c r="H7" s="4" t="n">
        <v>28</v>
      </c>
      <c r="I7" s="5" t="s">
        <v>236</v>
      </c>
      <c r="J7" s="40" t="n">
        <f aca="false">IF(OR(D7="",N(D7)=0,F7=""),"",COUNTIFS($F$6:$F$25,"&gt;"&amp;F7,$D$6:$D$25,"&gt;0")+1)</f>
        <v>2</v>
      </c>
      <c r="K7" s="40" t="n">
        <f aca="false">IF(OR(D7="",N(D7)=0),"",COUNTIFS($D$6:$D$25,"&lt;"&amp;D7,$D$6:$D$25,"&gt;0")+1)</f>
        <v>2</v>
      </c>
    </row>
    <row r="8" customFormat="false" ht="15" hidden="false" customHeight="false" outlineLevel="0" collapsed="false">
      <c r="B8" s="5"/>
      <c r="C8" s="5"/>
      <c r="D8" s="28"/>
      <c r="E8" s="28"/>
      <c r="F8" s="38"/>
      <c r="G8" s="39" t="str">
        <f aca="false">IF(F8="","",(1+F8)^12-1)</f>
        <v/>
      </c>
      <c r="H8" s="4"/>
      <c r="I8" s="5"/>
      <c r="J8" s="40" t="str">
        <f aca="false">IF(OR(D8="",N(D8)=0,F8=""),"",COUNTIFS($F$6:$F$25,"&gt;"&amp;F8,$D$6:$D$25,"&gt;0")+1)</f>
        <v/>
      </c>
      <c r="K8" s="40" t="str">
        <f aca="false">IF(OR(D8="",N(D8)=0),"",COUNTIFS($D$6:$D$25,"&lt;"&amp;D8,$D$6:$D$25,"&gt;0")+1)</f>
        <v/>
      </c>
    </row>
    <row r="9" customFormat="false" ht="15" hidden="false" customHeight="false" outlineLevel="0" collapsed="false">
      <c r="B9" s="5"/>
      <c r="C9" s="5"/>
      <c r="D9" s="28"/>
      <c r="E9" s="28"/>
      <c r="F9" s="38"/>
      <c r="G9" s="39" t="str">
        <f aca="false">IF(F9="","",(1+F9)^12-1)</f>
        <v/>
      </c>
      <c r="H9" s="4"/>
      <c r="I9" s="5"/>
      <c r="J9" s="40" t="str">
        <f aca="false">IF(OR(D9="",N(D9)=0,F9=""),"",COUNTIFS($F$6:$F$25,"&gt;"&amp;F9,$D$6:$D$25,"&gt;0")+1)</f>
        <v/>
      </c>
      <c r="K9" s="40" t="str">
        <f aca="false">IF(OR(D9="",N(D9)=0),"",COUNTIFS($D$6:$D$25,"&lt;"&amp;D9,$D$6:$D$25,"&gt;0")+1)</f>
        <v/>
      </c>
    </row>
    <row r="10" customFormat="false" ht="15" hidden="false" customHeight="false" outlineLevel="0" collapsed="false">
      <c r="B10" s="5"/>
      <c r="C10" s="5"/>
      <c r="D10" s="28"/>
      <c r="E10" s="28"/>
      <c r="F10" s="38"/>
      <c r="G10" s="39" t="str">
        <f aca="false">IF(F10="","",(1+F10)^12-1)</f>
        <v/>
      </c>
      <c r="H10" s="4"/>
      <c r="I10" s="5"/>
      <c r="J10" s="40" t="str">
        <f aca="false">IF(OR(D10="",N(D10)=0,F10=""),"",COUNTIFS($F$6:$F$25,"&gt;"&amp;F10,$D$6:$D$25,"&gt;0")+1)</f>
        <v/>
      </c>
      <c r="K10" s="40" t="str">
        <f aca="false">IF(OR(D10="",N(D10)=0),"",COUNTIFS($D$6:$D$25,"&lt;"&amp;D10,$D$6:$D$25,"&gt;0")+1)</f>
        <v/>
      </c>
    </row>
    <row r="11" customFormat="false" ht="15" hidden="false" customHeight="false" outlineLevel="0" collapsed="false">
      <c r="B11" s="5"/>
      <c r="C11" s="5"/>
      <c r="D11" s="28"/>
      <c r="E11" s="28"/>
      <c r="F11" s="38"/>
      <c r="G11" s="39" t="str">
        <f aca="false">IF(F11="","",(1+F11)^12-1)</f>
        <v/>
      </c>
      <c r="H11" s="4"/>
      <c r="I11" s="5"/>
      <c r="J11" s="40" t="str">
        <f aca="false">IF(OR(D11="",N(D11)=0,F11=""),"",COUNTIFS($F$6:$F$25,"&gt;"&amp;F11,$D$6:$D$25,"&gt;0")+1)</f>
        <v/>
      </c>
      <c r="K11" s="40" t="str">
        <f aca="false">IF(OR(D11="",N(D11)=0),"",COUNTIFS($D$6:$D$25,"&lt;"&amp;D11,$D$6:$D$25,"&gt;0")+1)</f>
        <v/>
      </c>
    </row>
    <row r="12" customFormat="false" ht="15" hidden="false" customHeight="false" outlineLevel="0" collapsed="false">
      <c r="B12" s="5"/>
      <c r="C12" s="5"/>
      <c r="D12" s="28"/>
      <c r="E12" s="28"/>
      <c r="F12" s="38"/>
      <c r="G12" s="39" t="str">
        <f aca="false">IF(F12="","",(1+F12)^12-1)</f>
        <v/>
      </c>
      <c r="H12" s="4"/>
      <c r="I12" s="5"/>
      <c r="J12" s="40" t="str">
        <f aca="false">IF(OR(D12="",N(D12)=0,F12=""),"",COUNTIFS($F$6:$F$25,"&gt;"&amp;F12,$D$6:$D$25,"&gt;0")+1)</f>
        <v/>
      </c>
      <c r="K12" s="40" t="str">
        <f aca="false">IF(OR(D12="",N(D12)=0),"",COUNTIFS($D$6:$D$25,"&lt;"&amp;D12,$D$6:$D$25,"&gt;0")+1)</f>
        <v/>
      </c>
    </row>
    <row r="13" customFormat="false" ht="15" hidden="false" customHeight="false" outlineLevel="0" collapsed="false">
      <c r="B13" s="5"/>
      <c r="C13" s="5"/>
      <c r="D13" s="28"/>
      <c r="E13" s="28"/>
      <c r="F13" s="38"/>
      <c r="G13" s="39" t="str">
        <f aca="false">IF(F13="","",(1+F13)^12-1)</f>
        <v/>
      </c>
      <c r="H13" s="4"/>
      <c r="I13" s="5"/>
      <c r="J13" s="40" t="str">
        <f aca="false">IF(OR(D13="",N(D13)=0,F13=""),"",COUNTIFS($F$6:$F$25,"&gt;"&amp;F13,$D$6:$D$25,"&gt;0")+1)</f>
        <v/>
      </c>
      <c r="K13" s="40" t="str">
        <f aca="false">IF(OR(D13="",N(D13)=0),"",COUNTIFS($D$6:$D$25,"&lt;"&amp;D13,$D$6:$D$25,"&gt;0")+1)</f>
        <v/>
      </c>
    </row>
    <row r="14" customFormat="false" ht="15" hidden="false" customHeight="false" outlineLevel="0" collapsed="false">
      <c r="B14" s="5"/>
      <c r="C14" s="5"/>
      <c r="D14" s="28"/>
      <c r="E14" s="28"/>
      <c r="F14" s="38"/>
      <c r="G14" s="39" t="str">
        <f aca="false">IF(F14="","",(1+F14)^12-1)</f>
        <v/>
      </c>
      <c r="H14" s="4"/>
      <c r="I14" s="5"/>
      <c r="J14" s="40" t="str">
        <f aca="false">IF(OR(D14="",N(D14)=0,F14=""),"",COUNTIFS($F$6:$F$25,"&gt;"&amp;F14,$D$6:$D$25,"&gt;0")+1)</f>
        <v/>
      </c>
      <c r="K14" s="40" t="str">
        <f aca="false">IF(OR(D14="",N(D14)=0),"",COUNTIFS($D$6:$D$25,"&lt;"&amp;D14,$D$6:$D$25,"&gt;0")+1)</f>
        <v/>
      </c>
    </row>
    <row r="15" customFormat="false" ht="15" hidden="false" customHeight="false" outlineLevel="0" collapsed="false">
      <c r="B15" s="5"/>
      <c r="C15" s="5"/>
      <c r="D15" s="28"/>
      <c r="E15" s="28"/>
      <c r="F15" s="38"/>
      <c r="G15" s="39" t="str">
        <f aca="false">IF(F15="","",(1+F15)^12-1)</f>
        <v/>
      </c>
      <c r="H15" s="4"/>
      <c r="I15" s="5"/>
      <c r="J15" s="40" t="str">
        <f aca="false">IF(OR(D15="",N(D15)=0,F15=""),"",COUNTIFS($F$6:$F$25,"&gt;"&amp;F15,$D$6:$D$25,"&gt;0")+1)</f>
        <v/>
      </c>
      <c r="K15" s="40" t="str">
        <f aca="false">IF(OR(D15="",N(D15)=0),"",COUNTIFS($D$6:$D$25,"&lt;"&amp;D15,$D$6:$D$25,"&gt;0")+1)</f>
        <v/>
      </c>
    </row>
    <row r="16" customFormat="false" ht="15" hidden="false" customHeight="false" outlineLevel="0" collapsed="false">
      <c r="B16" s="5"/>
      <c r="C16" s="5"/>
      <c r="D16" s="28"/>
      <c r="E16" s="28"/>
      <c r="F16" s="38"/>
      <c r="G16" s="39" t="str">
        <f aca="false">IF(F16="","",(1+F16)^12-1)</f>
        <v/>
      </c>
      <c r="H16" s="4"/>
      <c r="I16" s="5"/>
      <c r="J16" s="40" t="str">
        <f aca="false">IF(OR(D16="",N(D16)=0,F16=""),"",COUNTIFS($F$6:$F$25,"&gt;"&amp;F16,$D$6:$D$25,"&gt;0")+1)</f>
        <v/>
      </c>
      <c r="K16" s="40" t="str">
        <f aca="false">IF(OR(D16="",N(D16)=0),"",COUNTIFS($D$6:$D$25,"&lt;"&amp;D16,$D$6:$D$25,"&gt;0")+1)</f>
        <v/>
      </c>
    </row>
    <row r="17" customFormat="false" ht="15" hidden="false" customHeight="false" outlineLevel="0" collapsed="false">
      <c r="B17" s="5"/>
      <c r="C17" s="5"/>
      <c r="D17" s="28"/>
      <c r="E17" s="28"/>
      <c r="F17" s="38"/>
      <c r="G17" s="39" t="str">
        <f aca="false">IF(F17="","",(1+F17)^12-1)</f>
        <v/>
      </c>
      <c r="H17" s="4"/>
      <c r="I17" s="5"/>
      <c r="J17" s="40" t="str">
        <f aca="false">IF(OR(D17="",N(D17)=0,F17=""),"",COUNTIFS($F$6:$F$25,"&gt;"&amp;F17,$D$6:$D$25,"&gt;0")+1)</f>
        <v/>
      </c>
      <c r="K17" s="40" t="str">
        <f aca="false">IF(OR(D17="",N(D17)=0),"",COUNTIFS($D$6:$D$25,"&lt;"&amp;D17,$D$6:$D$25,"&gt;0")+1)</f>
        <v/>
      </c>
    </row>
    <row r="18" customFormat="false" ht="15" hidden="false" customHeight="false" outlineLevel="0" collapsed="false">
      <c r="B18" s="5"/>
      <c r="C18" s="5"/>
      <c r="D18" s="28"/>
      <c r="E18" s="28"/>
      <c r="F18" s="38"/>
      <c r="G18" s="39" t="str">
        <f aca="false">IF(F18="","",(1+F18)^12-1)</f>
        <v/>
      </c>
      <c r="H18" s="4"/>
      <c r="I18" s="5"/>
      <c r="J18" s="40" t="str">
        <f aca="false">IF(OR(D18="",N(D18)=0,F18=""),"",COUNTIFS($F$6:$F$25,"&gt;"&amp;F18,$D$6:$D$25,"&gt;0")+1)</f>
        <v/>
      </c>
      <c r="K18" s="40" t="str">
        <f aca="false">IF(OR(D18="",N(D18)=0),"",COUNTIFS($D$6:$D$25,"&lt;"&amp;D18,$D$6:$D$25,"&gt;0")+1)</f>
        <v/>
      </c>
    </row>
    <row r="19" customFormat="false" ht="15" hidden="false" customHeight="false" outlineLevel="0" collapsed="false">
      <c r="B19" s="5"/>
      <c r="C19" s="5"/>
      <c r="D19" s="28"/>
      <c r="E19" s="28"/>
      <c r="F19" s="38"/>
      <c r="G19" s="39" t="str">
        <f aca="false">IF(F19="","",(1+F19)^12-1)</f>
        <v/>
      </c>
      <c r="H19" s="4"/>
      <c r="I19" s="5"/>
      <c r="J19" s="40" t="str">
        <f aca="false">IF(OR(D19="",N(D19)=0,F19=""),"",COUNTIFS($F$6:$F$25,"&gt;"&amp;F19,$D$6:$D$25,"&gt;0")+1)</f>
        <v/>
      </c>
      <c r="K19" s="40" t="str">
        <f aca="false">IF(OR(D19="",N(D19)=0),"",COUNTIFS($D$6:$D$25,"&lt;"&amp;D19,$D$6:$D$25,"&gt;0")+1)</f>
        <v/>
      </c>
    </row>
    <row r="20" customFormat="false" ht="15" hidden="false" customHeight="false" outlineLevel="0" collapsed="false">
      <c r="B20" s="5"/>
      <c r="C20" s="5"/>
      <c r="D20" s="28"/>
      <c r="E20" s="28"/>
      <c r="F20" s="38"/>
      <c r="G20" s="39" t="str">
        <f aca="false">IF(F20="","",(1+F20)^12-1)</f>
        <v/>
      </c>
      <c r="H20" s="4"/>
      <c r="I20" s="5"/>
      <c r="J20" s="40" t="str">
        <f aca="false">IF(OR(D20="",N(D20)=0,F20=""),"",COUNTIFS($F$6:$F$25,"&gt;"&amp;F20,$D$6:$D$25,"&gt;0")+1)</f>
        <v/>
      </c>
      <c r="K20" s="40" t="str">
        <f aca="false">IF(OR(D20="",N(D20)=0),"",COUNTIFS($D$6:$D$25,"&lt;"&amp;D20,$D$6:$D$25,"&gt;0")+1)</f>
        <v/>
      </c>
    </row>
    <row r="21" customFormat="false" ht="15" hidden="false" customHeight="false" outlineLevel="0" collapsed="false">
      <c r="B21" s="5"/>
      <c r="C21" s="5"/>
      <c r="D21" s="28"/>
      <c r="E21" s="28"/>
      <c r="F21" s="38"/>
      <c r="G21" s="39" t="str">
        <f aca="false">IF(F21="","",(1+F21)^12-1)</f>
        <v/>
      </c>
      <c r="H21" s="4"/>
      <c r="I21" s="5"/>
      <c r="J21" s="40" t="str">
        <f aca="false">IF(OR(D21="",N(D21)=0,F21=""),"",COUNTIFS($F$6:$F$25,"&gt;"&amp;F21,$D$6:$D$25,"&gt;0")+1)</f>
        <v/>
      </c>
      <c r="K21" s="40" t="str">
        <f aca="false">IF(OR(D21="",N(D21)=0),"",COUNTIFS($D$6:$D$25,"&lt;"&amp;D21,$D$6:$D$25,"&gt;0")+1)</f>
        <v/>
      </c>
    </row>
    <row r="22" customFormat="false" ht="15" hidden="false" customHeight="false" outlineLevel="0" collapsed="false">
      <c r="B22" s="5"/>
      <c r="C22" s="5"/>
      <c r="D22" s="28"/>
      <c r="E22" s="28"/>
      <c r="F22" s="38"/>
      <c r="G22" s="39" t="str">
        <f aca="false">IF(F22="","",(1+F22)^12-1)</f>
        <v/>
      </c>
      <c r="H22" s="4"/>
      <c r="I22" s="5"/>
      <c r="J22" s="40" t="str">
        <f aca="false">IF(OR(D22="",N(D22)=0,F22=""),"",COUNTIFS($F$6:$F$25,"&gt;"&amp;F22,$D$6:$D$25,"&gt;0")+1)</f>
        <v/>
      </c>
      <c r="K22" s="40" t="str">
        <f aca="false">IF(OR(D22="",N(D22)=0),"",COUNTIFS($D$6:$D$25,"&lt;"&amp;D22,$D$6:$D$25,"&gt;0")+1)</f>
        <v/>
      </c>
    </row>
    <row r="23" customFormat="false" ht="15" hidden="false" customHeight="false" outlineLevel="0" collapsed="false">
      <c r="B23" s="5"/>
      <c r="C23" s="5"/>
      <c r="D23" s="28"/>
      <c r="E23" s="28"/>
      <c r="F23" s="38"/>
      <c r="G23" s="39" t="str">
        <f aca="false">IF(F23="","",(1+F23)^12-1)</f>
        <v/>
      </c>
      <c r="H23" s="4"/>
      <c r="I23" s="5"/>
      <c r="J23" s="40" t="str">
        <f aca="false">IF(OR(D23="",N(D23)=0,F23=""),"",COUNTIFS($F$6:$F$25,"&gt;"&amp;F23,$D$6:$D$25,"&gt;0")+1)</f>
        <v/>
      </c>
      <c r="K23" s="40" t="str">
        <f aca="false">IF(OR(D23="",N(D23)=0),"",COUNTIFS($D$6:$D$25,"&lt;"&amp;D23,$D$6:$D$25,"&gt;0")+1)</f>
        <v/>
      </c>
    </row>
    <row r="24" customFormat="false" ht="15" hidden="false" customHeight="false" outlineLevel="0" collapsed="false">
      <c r="B24" s="5"/>
      <c r="C24" s="5"/>
      <c r="D24" s="28"/>
      <c r="E24" s="28"/>
      <c r="F24" s="38"/>
      <c r="G24" s="39" t="str">
        <f aca="false">IF(F24="","",(1+F24)^12-1)</f>
        <v/>
      </c>
      <c r="H24" s="4"/>
      <c r="I24" s="5"/>
      <c r="J24" s="40" t="str">
        <f aca="false">IF(OR(D24="",N(D24)=0,F24=""),"",COUNTIFS($F$6:$F$25,"&gt;"&amp;F24,$D$6:$D$25,"&gt;0")+1)</f>
        <v/>
      </c>
      <c r="K24" s="40" t="str">
        <f aca="false">IF(OR(D24="",N(D24)=0),"",COUNTIFS($D$6:$D$25,"&lt;"&amp;D24,$D$6:$D$25,"&gt;0")+1)</f>
        <v/>
      </c>
    </row>
    <row r="25" customFormat="false" ht="15" hidden="false" customHeight="false" outlineLevel="0" collapsed="false">
      <c r="B25" s="5"/>
      <c r="C25" s="5"/>
      <c r="D25" s="28"/>
      <c r="E25" s="28"/>
      <c r="F25" s="38"/>
      <c r="G25" s="39" t="str">
        <f aca="false">IF(F25="","",(1+F25)^12-1)</f>
        <v/>
      </c>
      <c r="H25" s="4"/>
      <c r="I25" s="5"/>
      <c r="J25" s="40" t="str">
        <f aca="false">IF(OR(D25="",N(D25)=0,F25=""),"",COUNTIFS($F$6:$F$25,"&gt;"&amp;F25,$D$6:$D$25,"&gt;0")+1)</f>
        <v/>
      </c>
      <c r="K25" s="40" t="str">
        <f aca="false">IF(OR(D25="",N(D25)=0),"",COUNTIFS($D$6:$D$25,"&lt;"&amp;D25,$D$6:$D$25,"&gt;0")+1)</f>
        <v/>
      </c>
    </row>
    <row r="27" customFormat="false" ht="15" hidden="false" customHeight="false" outlineLevel="0" collapsed="false">
      <c r="B27" s="19" t="s">
        <v>239</v>
      </c>
      <c r="C27" s="11"/>
      <c r="D27" s="20" t="n">
        <f aca="false">SUM(D6:D25)</f>
        <v>23000</v>
      </c>
      <c r="E27" s="20" t="n">
        <f aca="false">SUM(E6:E25)</f>
        <v>1200</v>
      </c>
    </row>
    <row r="28" customFormat="false" ht="15" hidden="false" customHeight="false" outlineLevel="0" collapsed="false">
      <c r="B28" s="9" t="s">
        <v>240</v>
      </c>
      <c r="E28" s="41" t="n">
        <f aca="false">IFERROR(E27/Resumo!$O$7,0)</f>
        <v>0.15</v>
      </c>
    </row>
    <row r="30" customFormat="false" ht="15" hidden="false" customHeight="false" outlineLevel="0" collapsed="false">
      <c r="B30" s="2" t="s">
        <v>241</v>
      </c>
    </row>
  </sheetData>
  <dataValidations count="1">
    <dataValidation allowBlank="true" errorStyle="stop" operator="between" showDropDown="false" showErrorMessage="false" showInputMessage="false" sqref="I6:I25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183"/>
    <pageSetUpPr fitToPage="true"/>
  </sheetPr>
  <dimension ref="B2:L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9" min="8" style="0" width="16"/>
    <col collapsed="false" customWidth="true" hidden="false" outlineLevel="0" max="10" min="10" style="0" width="11"/>
    <col collapsed="false" customWidth="true" hidden="false" outlineLevel="0" max="11" min="11" style="0" width="30"/>
    <col collapsed="false" customWidth="true" hidden="false" outlineLevel="0" max="12" min="12" style="0" width="10"/>
  </cols>
  <sheetData>
    <row r="2" customFormat="false" ht="17.35" hidden="false" customHeight="false" outlineLevel="0" collapsed="false">
      <c r="B2" s="1" t="s">
        <v>242</v>
      </c>
    </row>
    <row r="3" customFormat="false" ht="15" hidden="false" customHeight="false" outlineLevel="0" collapsed="false">
      <c r="B3" s="2" t="s">
        <v>243</v>
      </c>
    </row>
    <row r="5" customFormat="false" ht="23.85" hidden="false" customHeight="false" outlineLevel="0" collapsed="false">
      <c r="B5" s="22" t="s">
        <v>244</v>
      </c>
      <c r="C5" s="22" t="s">
        <v>245</v>
      </c>
      <c r="D5" s="22" t="s">
        <v>246</v>
      </c>
      <c r="E5" s="22" t="s">
        <v>247</v>
      </c>
      <c r="F5" s="22" t="s">
        <v>248</v>
      </c>
      <c r="G5" s="22" t="s">
        <v>249</v>
      </c>
      <c r="H5" s="22" t="s">
        <v>250</v>
      </c>
      <c r="I5" s="22" t="s">
        <v>251</v>
      </c>
      <c r="J5" s="22" t="s">
        <v>252</v>
      </c>
      <c r="K5" s="22" t="s">
        <v>253</v>
      </c>
      <c r="L5" s="22" t="s">
        <v>254</v>
      </c>
    </row>
    <row r="6" customFormat="false" ht="15" hidden="false" customHeight="false" outlineLevel="0" collapsed="false">
      <c r="B6" s="5" t="s">
        <v>255</v>
      </c>
      <c r="C6" s="28" t="n">
        <v>80000</v>
      </c>
      <c r="D6" s="16" t="n">
        <v>47848</v>
      </c>
      <c r="E6" s="28" t="n">
        <v>0</v>
      </c>
      <c r="F6" s="42" t="n">
        <v>0.04</v>
      </c>
      <c r="G6" s="40" t="n">
        <f aca="true">IF(D6="","",MAX(0,(YEAR(D6)-YEAR(TODAY()))*12+MONTH(D6)-MONTH(TODAY())))</f>
        <v>50</v>
      </c>
      <c r="H6" s="43" t="n">
        <f aca="false">IF(OR(B6="",C6="",G6=""),"",IF(G6=0,MAX(0,C6-E6),MAX(0,PMT((1+F6)^(1/12)-1,G6,E6,-C6))))</f>
        <v>1475.23300986591</v>
      </c>
      <c r="I6" s="28" t="n">
        <v>480</v>
      </c>
      <c r="J6" s="44" t="n">
        <f aca="false">IF(OR(C6="",C6=0),"",MIN(1,E6/C6))</f>
        <v>0</v>
      </c>
      <c r="K6" s="5" t="s">
        <v>256</v>
      </c>
      <c r="L6" s="4" t="n">
        <v>2</v>
      </c>
    </row>
    <row r="7" customFormat="false" ht="15" hidden="false" customHeight="false" outlineLevel="0" collapsed="false">
      <c r="B7" s="5" t="s">
        <v>257</v>
      </c>
      <c r="C7" s="28" t="n">
        <v>100000</v>
      </c>
      <c r="D7" s="16" t="n">
        <v>51166</v>
      </c>
      <c r="E7" s="28" t="n">
        <v>0</v>
      </c>
      <c r="F7" s="42" t="n">
        <v>0.04</v>
      </c>
      <c r="G7" s="40" t="n">
        <f aca="true">IF(D7="","",MAX(0,(YEAR(D7)-YEAR(TODAY()))*12+MONTH(D7)-MONTH(TODAY())))</f>
        <v>159</v>
      </c>
      <c r="H7" s="43" t="n">
        <f aca="false">IF(OR(B7="",C7="",G7=""),"",IF(G7=0,MAX(0,C7-E7),MAX(0,PMT((1+F7)^(1/12)-1,G7,E7,-C7))))</f>
        <v>480.386665015623</v>
      </c>
      <c r="I7" s="28" t="n">
        <v>0</v>
      </c>
      <c r="J7" s="44" t="n">
        <f aca="false">IF(OR(C7="",C7=0),"",MIN(1,E7/C7))</f>
        <v>0</v>
      </c>
      <c r="K7" s="5" t="s">
        <v>258</v>
      </c>
      <c r="L7" s="4" t="n">
        <v>3</v>
      </c>
    </row>
    <row r="8" customFormat="false" ht="15" hidden="false" customHeight="false" outlineLevel="0" collapsed="false">
      <c r="B8" s="5"/>
      <c r="C8" s="28"/>
      <c r="D8" s="16"/>
      <c r="E8" s="28"/>
      <c r="F8" s="42"/>
      <c r="G8" s="40" t="str">
        <f aca="true">IF(D8="","",MAX(0,(YEAR(D8)-YEAR(TODAY()))*12+MONTH(D8)-MONTH(TODAY())))</f>
        <v/>
      </c>
      <c r="H8" s="43" t="str">
        <f aca="false">IF(OR(B8="",C8="",G8=""),"",IF(G8=0,MAX(0,C8-E8),MAX(0,PMT((1+F8)^(1/12)-1,G8,E8,-C8))))</f>
        <v/>
      </c>
      <c r="I8" s="28"/>
      <c r="J8" s="44" t="str">
        <f aca="false">IF(OR(C8="",C8=0),"",MIN(1,E8/C8))</f>
        <v/>
      </c>
      <c r="K8" s="5"/>
      <c r="L8" s="4"/>
    </row>
    <row r="9" customFormat="false" ht="15" hidden="false" customHeight="false" outlineLevel="0" collapsed="false">
      <c r="B9" s="5"/>
      <c r="C9" s="28"/>
      <c r="D9" s="16"/>
      <c r="E9" s="28"/>
      <c r="F9" s="42"/>
      <c r="G9" s="40" t="str">
        <f aca="true">IF(D9="","",MAX(0,(YEAR(D9)-YEAR(TODAY()))*12+MONTH(D9)-MONTH(TODAY())))</f>
        <v/>
      </c>
      <c r="H9" s="43" t="str">
        <f aca="false">IF(OR(B9="",C9="",G9=""),"",IF(G9=0,MAX(0,C9-E9),MAX(0,PMT((1+F9)^(1/12)-1,G9,E9,-C9))))</f>
        <v/>
      </c>
      <c r="I9" s="28"/>
      <c r="J9" s="44" t="str">
        <f aca="false">IF(OR(C9="",C9=0),"",MIN(1,E9/C9))</f>
        <v/>
      </c>
      <c r="K9" s="5"/>
      <c r="L9" s="4"/>
    </row>
    <row r="10" customFormat="false" ht="15" hidden="false" customHeight="false" outlineLevel="0" collapsed="false">
      <c r="B10" s="5"/>
      <c r="C10" s="28"/>
      <c r="D10" s="16"/>
      <c r="E10" s="28"/>
      <c r="F10" s="42"/>
      <c r="G10" s="40" t="str">
        <f aca="true">IF(D10="","",MAX(0,(YEAR(D10)-YEAR(TODAY()))*12+MONTH(D10)-MONTH(TODAY())))</f>
        <v/>
      </c>
      <c r="H10" s="43" t="str">
        <f aca="false">IF(OR(B10="",C10="",G10=""),"",IF(G10=0,MAX(0,C10-E10),MAX(0,PMT((1+F10)^(1/12)-1,G10,E10,-C10))))</f>
        <v/>
      </c>
      <c r="I10" s="28"/>
      <c r="J10" s="44" t="str">
        <f aca="false">IF(OR(C10="",C10=0),"",MIN(1,E10/C10))</f>
        <v/>
      </c>
      <c r="K10" s="5"/>
      <c r="L10" s="4"/>
    </row>
    <row r="12" customFormat="false" ht="15" hidden="false" customHeight="false" outlineLevel="0" collapsed="false">
      <c r="B12" s="19" t="s">
        <v>239</v>
      </c>
      <c r="H12" s="20" t="n">
        <f aca="false">SUM(H6:H10)</f>
        <v>1955.61967488153</v>
      </c>
      <c r="I12" s="20" t="n">
        <f aca="false">SUM(I6:I10)</f>
        <v>480</v>
      </c>
    </row>
    <row r="14" customFormat="false" ht="15" hidden="false" customHeight="false" outlineLevel="0" collapsed="false">
      <c r="B14" s="3" t="s">
        <v>259</v>
      </c>
      <c r="H14" s="35" t="n">
        <f aca="false">Resumo!O15-Resumo!O18-Resumo!O19-Resumo!O20-Resumo!O21</f>
        <v>486.666666666667</v>
      </c>
    </row>
    <row r="15" customFormat="false" ht="15" hidden="false" customHeight="false" outlineLevel="0" collapsed="false">
      <c r="B15" s="3" t="s">
        <v>260</v>
      </c>
      <c r="H15" s="3" t="str">
        <f aca="false">IF(H14=0,"Preencha os meses",IF(I12&lt;=H14,"Sim","Não: reveja valor, data ou ordem"))</f>
        <v>Sim</v>
      </c>
    </row>
    <row r="17" customFormat="false" ht="30" hidden="false" customHeight="true" outlineLevel="0" collapsed="false">
      <c r="B17" s="45" t="s">
        <v>261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</row>
  </sheetData>
  <mergeCells count="1">
    <mergeCell ref="B17:L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183"/>
    <pageSetUpPr fitToPage="true"/>
  </sheetPr>
  <dimension ref="B2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40"/>
  </cols>
  <sheetData>
    <row r="2" customFormat="false" ht="17.35" hidden="false" customHeight="false" outlineLevel="0" collapsed="false">
      <c r="B2" s="1" t="s">
        <v>262</v>
      </c>
    </row>
    <row r="3" customFormat="false" ht="15" hidden="false" customHeight="false" outlineLevel="0" collapsed="false">
      <c r="B3" s="2" t="s">
        <v>263</v>
      </c>
    </row>
    <row r="5" customFormat="false" ht="15" hidden="false" customHeight="false" outlineLevel="0" collapsed="false">
      <c r="B5" s="22" t="s">
        <v>130</v>
      </c>
      <c r="C5" s="22" t="s">
        <v>264</v>
      </c>
      <c r="D5" s="22" t="s">
        <v>265</v>
      </c>
      <c r="E5" s="22" t="s">
        <v>266</v>
      </c>
    </row>
    <row r="6" customFormat="false" ht="15" hidden="false" customHeight="false" outlineLevel="0" collapsed="false">
      <c r="B6" s="46" t="s">
        <v>267</v>
      </c>
      <c r="C6" s="5"/>
      <c r="D6" s="16"/>
      <c r="E6" s="5"/>
    </row>
    <row r="7" customFormat="false" ht="15" hidden="false" customHeight="false" outlineLevel="0" collapsed="false">
      <c r="B7" s="46" t="s">
        <v>268</v>
      </c>
      <c r="C7" s="5"/>
      <c r="D7" s="16"/>
      <c r="E7" s="5"/>
    </row>
    <row r="8" customFormat="false" ht="15" hidden="false" customHeight="false" outlineLevel="0" collapsed="false">
      <c r="B8" s="46" t="s">
        <v>269</v>
      </c>
      <c r="C8" s="5"/>
      <c r="D8" s="16"/>
      <c r="E8" s="5"/>
    </row>
    <row r="9" customFormat="false" ht="15" hidden="false" customHeight="false" outlineLevel="0" collapsed="false">
      <c r="B9" s="46" t="s">
        <v>270</v>
      </c>
      <c r="C9" s="5"/>
      <c r="D9" s="16"/>
      <c r="E9" s="5"/>
    </row>
    <row r="10" customFormat="false" ht="15" hidden="false" customHeight="false" outlineLevel="0" collapsed="false">
      <c r="B10" s="46" t="s">
        <v>271</v>
      </c>
      <c r="C10" s="5"/>
      <c r="D10" s="16"/>
      <c r="E10" s="5"/>
    </row>
    <row r="11" customFormat="false" ht="15" hidden="false" customHeight="false" outlineLevel="0" collapsed="false">
      <c r="B11" s="46" t="s">
        <v>272</v>
      </c>
      <c r="C11" s="5"/>
      <c r="D11" s="16"/>
      <c r="E11" s="5"/>
    </row>
    <row r="12" customFormat="false" ht="15" hidden="false" customHeight="false" outlineLevel="0" collapsed="false">
      <c r="B12" s="46" t="s">
        <v>273</v>
      </c>
      <c r="C12" s="5"/>
      <c r="D12" s="16"/>
      <c r="E12" s="5"/>
    </row>
    <row r="13" customFormat="false" ht="15" hidden="false" customHeight="false" outlineLevel="0" collapsed="false">
      <c r="B13" s="46" t="s">
        <v>274</v>
      </c>
      <c r="C13" s="5"/>
      <c r="D13" s="16"/>
      <c r="E13" s="5"/>
    </row>
    <row r="14" customFormat="false" ht="15" hidden="false" customHeight="false" outlineLevel="0" collapsed="false">
      <c r="B14" s="46" t="s">
        <v>275</v>
      </c>
      <c r="C14" s="5"/>
      <c r="D14" s="16"/>
      <c r="E14" s="5"/>
    </row>
    <row r="15" customFormat="false" ht="15" hidden="false" customHeight="false" outlineLevel="0" collapsed="false">
      <c r="B15" s="46" t="s">
        <v>276</v>
      </c>
      <c r="C15" s="5"/>
      <c r="D15" s="16"/>
      <c r="E15" s="5"/>
    </row>
    <row r="16" customFormat="false" ht="15" hidden="false" customHeight="false" outlineLevel="0" collapsed="false">
      <c r="B16" s="46" t="s">
        <v>277</v>
      </c>
      <c r="C16" s="5"/>
      <c r="D16" s="16"/>
      <c r="E16" s="5"/>
    </row>
    <row r="17" customFormat="false" ht="15" hidden="false" customHeight="false" outlineLevel="0" collapsed="false">
      <c r="B17" s="46" t="s">
        <v>278</v>
      </c>
      <c r="C17" s="5"/>
      <c r="D17" s="16"/>
      <c r="E17" s="5"/>
    </row>
    <row r="19" customFormat="false" ht="15" hidden="false" customHeight="false" outlineLevel="0" collapsed="false">
      <c r="B19" s="13" t="s">
        <v>279</v>
      </c>
      <c r="C19" s="14"/>
      <c r="D19" s="14"/>
      <c r="E19" s="14"/>
    </row>
    <row r="20" customFormat="false" ht="15" hidden="false" customHeight="false" outlineLevel="0" collapsed="false">
      <c r="B20" s="46" t="s">
        <v>280</v>
      </c>
      <c r="C20" s="5"/>
      <c r="D20" s="16"/>
      <c r="E20" s="5"/>
    </row>
    <row r="21" customFormat="false" ht="15" hidden="false" customHeight="false" outlineLevel="0" collapsed="false">
      <c r="B21" s="46" t="s">
        <v>281</v>
      </c>
      <c r="C21" s="5"/>
      <c r="D21" s="16"/>
      <c r="E21" s="5"/>
    </row>
    <row r="22" customFormat="false" ht="15" hidden="false" customHeight="false" outlineLevel="0" collapsed="false">
      <c r="B22" s="46" t="s">
        <v>282</v>
      </c>
      <c r="C22" s="5"/>
      <c r="D22" s="16"/>
      <c r="E22" s="5"/>
    </row>
    <row r="23" customFormat="false" ht="15" hidden="false" customHeight="false" outlineLevel="0" collapsed="false">
      <c r="B23" s="46" t="s">
        <v>283</v>
      </c>
      <c r="C23" s="5"/>
      <c r="D23" s="16"/>
      <c r="E23" s="5"/>
    </row>
    <row r="24" customFormat="false" ht="15" hidden="false" customHeight="false" outlineLevel="0" collapsed="false">
      <c r="B24" s="46" t="s">
        <v>284</v>
      </c>
      <c r="C24" s="5"/>
      <c r="D24" s="16"/>
      <c r="E24" s="5"/>
    </row>
    <row r="25" customFormat="false" ht="23.85" hidden="false" customHeight="false" outlineLevel="0" collapsed="false">
      <c r="B25" s="46" t="s">
        <v>285</v>
      </c>
      <c r="C25" s="5"/>
      <c r="D25" s="16"/>
      <c r="E25" s="5"/>
    </row>
    <row r="26" customFormat="false" ht="15" hidden="false" customHeight="false" outlineLevel="0" collapsed="false">
      <c r="B26" s="46" t="s">
        <v>286</v>
      </c>
      <c r="C26" s="5"/>
      <c r="D26" s="16"/>
      <c r="E26" s="5"/>
    </row>
    <row r="27" customFormat="false" ht="15" hidden="false" customHeight="false" outlineLevel="0" collapsed="false">
      <c r="B27" s="46" t="s">
        <v>287</v>
      </c>
      <c r="C27" s="5"/>
      <c r="D27" s="16"/>
      <c r="E27" s="5"/>
    </row>
    <row r="28" customFormat="false" ht="15" hidden="false" customHeight="false" outlineLevel="0" collapsed="false">
      <c r="B28" s="46" t="s">
        <v>288</v>
      </c>
      <c r="C28" s="5"/>
      <c r="D28" s="16"/>
      <c r="E28" s="5"/>
    </row>
  </sheetData>
  <dataValidations count="1">
    <dataValidation allowBlank="true" errorStyle="stop" operator="between" showDropDown="false" showErrorMessage="false" showInputMessage="false" sqref="C6:C17 C20:C28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183"/>
    <pageSetUpPr fitToPage="true"/>
  </sheetPr>
  <dimension ref="B2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48"/>
  </cols>
  <sheetData>
    <row r="2" customFormat="false" ht="17.35" hidden="false" customHeight="false" outlineLevel="0" collapsed="false">
      <c r="B2" s="1" t="s">
        <v>289</v>
      </c>
    </row>
    <row r="3" customFormat="false" ht="15" hidden="false" customHeight="false" outlineLevel="0" collapsed="false">
      <c r="B3" s="2" t="s">
        <v>290</v>
      </c>
    </row>
    <row r="5" customFormat="false" ht="15" hidden="false" customHeight="false" outlineLevel="0" collapsed="false">
      <c r="B5" s="22" t="s">
        <v>291</v>
      </c>
      <c r="C5" s="22" t="s">
        <v>292</v>
      </c>
    </row>
    <row r="6" customFormat="false" ht="15" hidden="false" customHeight="false" outlineLevel="0" collapsed="false">
      <c r="B6" s="15" t="s">
        <v>112</v>
      </c>
      <c r="C6" s="5" t="s">
        <v>293</v>
      </c>
    </row>
    <row r="7" customFormat="false" ht="15" hidden="false" customHeight="false" outlineLevel="0" collapsed="false">
      <c r="B7" s="15" t="s">
        <v>112</v>
      </c>
      <c r="C7" s="5" t="s">
        <v>294</v>
      </c>
    </row>
    <row r="8" customFormat="false" ht="15" hidden="false" customHeight="false" outlineLevel="0" collapsed="false">
      <c r="B8" s="15" t="s">
        <v>112</v>
      </c>
      <c r="C8" s="5" t="s">
        <v>295</v>
      </c>
    </row>
    <row r="9" customFormat="false" ht="15" hidden="false" customHeight="false" outlineLevel="0" collapsed="false">
      <c r="B9" s="15" t="s">
        <v>112</v>
      </c>
      <c r="C9" s="5" t="s">
        <v>296</v>
      </c>
    </row>
    <row r="10" customFormat="false" ht="15" hidden="false" customHeight="false" outlineLevel="0" collapsed="false">
      <c r="B10" s="15" t="s">
        <v>112</v>
      </c>
      <c r="C10" s="5" t="s">
        <v>297</v>
      </c>
    </row>
    <row r="11" customFormat="false" ht="15" hidden="false" customHeight="false" outlineLevel="0" collapsed="false">
      <c r="B11" s="15" t="s">
        <v>112</v>
      </c>
      <c r="C11" s="5" t="s">
        <v>298</v>
      </c>
    </row>
    <row r="12" customFormat="false" ht="15" hidden="false" customHeight="false" outlineLevel="0" collapsed="false">
      <c r="B12" s="15" t="s">
        <v>113</v>
      </c>
      <c r="C12" s="5" t="s">
        <v>299</v>
      </c>
    </row>
    <row r="13" customFormat="false" ht="15" hidden="false" customHeight="false" outlineLevel="0" collapsed="false">
      <c r="B13" s="15" t="s">
        <v>113</v>
      </c>
      <c r="C13" s="5" t="s">
        <v>300</v>
      </c>
    </row>
    <row r="14" customFormat="false" ht="15" hidden="false" customHeight="false" outlineLevel="0" collapsed="false">
      <c r="B14" s="15" t="s">
        <v>113</v>
      </c>
      <c r="C14" s="5" t="s">
        <v>301</v>
      </c>
    </row>
    <row r="15" customFormat="false" ht="15" hidden="false" customHeight="false" outlineLevel="0" collapsed="false">
      <c r="B15" s="15" t="s">
        <v>113</v>
      </c>
      <c r="C15" s="5" t="s">
        <v>302</v>
      </c>
    </row>
    <row r="16" customFormat="false" ht="15" hidden="false" customHeight="false" outlineLevel="0" collapsed="false">
      <c r="B16" s="15" t="s">
        <v>113</v>
      </c>
      <c r="C16" s="5" t="s">
        <v>303</v>
      </c>
    </row>
    <row r="17" customFormat="false" ht="15" hidden="false" customHeight="false" outlineLevel="0" collapsed="false">
      <c r="B17" s="15" t="s">
        <v>117</v>
      </c>
      <c r="C17" s="5" t="s">
        <v>304</v>
      </c>
    </row>
    <row r="18" customFormat="false" ht="15" hidden="false" customHeight="false" outlineLevel="0" collapsed="false">
      <c r="B18" s="15" t="s">
        <v>117</v>
      </c>
      <c r="C18" s="5" t="s">
        <v>305</v>
      </c>
    </row>
    <row r="19" customFormat="false" ht="15" hidden="false" customHeight="false" outlineLevel="0" collapsed="false">
      <c r="B19" s="15" t="s">
        <v>117</v>
      </c>
      <c r="C19" s="5" t="s">
        <v>306</v>
      </c>
    </row>
    <row r="20" customFormat="false" ht="15" hidden="false" customHeight="false" outlineLevel="0" collapsed="false">
      <c r="B20" s="15" t="s">
        <v>117</v>
      </c>
      <c r="C20" s="5" t="s">
        <v>307</v>
      </c>
    </row>
    <row r="21" customFormat="false" ht="15" hidden="false" customHeight="false" outlineLevel="0" collapsed="false">
      <c r="B21" s="15" t="s">
        <v>117</v>
      </c>
      <c r="C21" s="5" t="s">
        <v>308</v>
      </c>
    </row>
    <row r="22" customFormat="false" ht="15" hidden="false" customHeight="false" outlineLevel="0" collapsed="false">
      <c r="B22" s="15" t="s">
        <v>117</v>
      </c>
      <c r="C22" s="5" t="s">
        <v>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2026-10-20T21:03:53Z</dcterms:created>
  <dc:creator>openpyxl</dc:creator>
  <dc:description/>
  <dc:language>en-US</dc:language>
  <cp:lastModifiedBy/>
  <dcterms:modified xsi:type="dcterms:W3CDTF">2026-10-20T18:03:58Z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